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azorClamData/Shared Documents/02_data/"/>
    </mc:Choice>
  </mc:AlternateContent>
  <xr:revisionPtr revIDLastSave="407" documentId="8_{735C93ED-BCE5-4644-A694-CB0A0A175050}" xr6:coauthVersionLast="47" xr6:coauthVersionMax="47" xr10:uidLastSave="{6EC7B0DF-6505-41CD-92B4-5556F442DC07}"/>
  <bookViews>
    <workbookView xWindow="28680" yWindow="-120" windowWidth="29040" windowHeight="15720" xr2:uid="{E414F693-EC11-4125-A022-E1B2DB1B3DAB}"/>
  </bookViews>
  <sheets>
    <sheet name="data" sheetId="1" r:id="rId1"/>
    <sheet name="sort_season" sheetId="3" r:id="rId2"/>
    <sheet name="sort_beac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9" i="1" l="1"/>
  <c r="U129" i="1"/>
  <c r="T135" i="1"/>
  <c r="K141" i="1"/>
  <c r="K14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14" i="1"/>
  <c r="T114" i="1" l="1"/>
  <c r="U31" i="1" l="1"/>
  <c r="X31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2" i="1"/>
  <c r="U30" i="1"/>
  <c r="W30" i="1"/>
  <c r="T30" i="1"/>
  <c r="V30" i="1" s="1"/>
  <c r="S30" i="1"/>
  <c r="X30" i="1" l="1"/>
  <c r="K3" i="1" l="1"/>
  <c r="K4" i="1"/>
  <c r="K5" i="1"/>
  <c r="K6" i="1"/>
  <c r="K7" i="1"/>
  <c r="K8" i="1"/>
  <c r="K9" i="1"/>
  <c r="K10" i="1"/>
  <c r="K11" i="1"/>
  <c r="K12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S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V124" i="1" s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V132" i="1" s="1"/>
  <c r="T132" i="1"/>
  <c r="S133" i="1"/>
  <c r="T133" i="1"/>
  <c r="U133" i="1" s="1"/>
  <c r="S134" i="1"/>
  <c r="T134" i="1"/>
  <c r="S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O27" i="1"/>
  <c r="T27" i="1" s="1"/>
  <c r="O28" i="1"/>
  <c r="T28" i="1" s="1"/>
  <c r="O29" i="1"/>
  <c r="T29" i="1" s="1"/>
  <c r="S27" i="1"/>
  <c r="S28" i="1"/>
  <c r="S29" i="1"/>
  <c r="S26" i="1"/>
  <c r="V130" i="1" l="1"/>
  <c r="V126" i="1"/>
  <c r="U28" i="1"/>
  <c r="U128" i="1"/>
  <c r="W130" i="1"/>
  <c r="V141" i="1"/>
  <c r="U137" i="1"/>
  <c r="V122" i="1"/>
  <c r="V131" i="1"/>
  <c r="U27" i="1"/>
  <c r="U140" i="1"/>
  <c r="W138" i="1"/>
  <c r="V134" i="1"/>
  <c r="U120" i="1"/>
  <c r="U116" i="1"/>
  <c r="W141" i="1"/>
  <c r="V133" i="1"/>
  <c r="X133" i="1" s="1"/>
  <c r="U130" i="1"/>
  <c r="U122" i="1"/>
  <c r="U118" i="1"/>
  <c r="U114" i="1"/>
  <c r="X114" i="1" s="1"/>
  <c r="U135" i="1"/>
  <c r="W137" i="1"/>
  <c r="U124" i="1"/>
  <c r="W140" i="1"/>
  <c r="V120" i="1"/>
  <c r="U139" i="1"/>
  <c r="U115" i="1"/>
  <c r="X115" i="1" s="1"/>
  <c r="W29" i="1"/>
  <c r="W117" i="1"/>
  <c r="U141" i="1"/>
  <c r="U138" i="1"/>
  <c r="W114" i="1"/>
  <c r="V28" i="1"/>
  <c r="W136" i="1"/>
  <c r="W125" i="1"/>
  <c r="V119" i="1"/>
  <c r="V27" i="1"/>
  <c r="V138" i="1"/>
  <c r="V127" i="1"/>
  <c r="U29" i="1"/>
  <c r="W133" i="1"/>
  <c r="V29" i="1"/>
  <c r="W134" i="1"/>
  <c r="U132" i="1"/>
  <c r="V129" i="1"/>
  <c r="W126" i="1"/>
  <c r="U121" i="1"/>
  <c r="W118" i="1"/>
  <c r="W128" i="1"/>
  <c r="W116" i="1"/>
  <c r="W122" i="1"/>
  <c r="V137" i="1"/>
  <c r="V128" i="1"/>
  <c r="U126" i="1"/>
  <c r="X126" i="1" s="1"/>
  <c r="U123" i="1"/>
  <c r="U117" i="1"/>
  <c r="V114" i="1"/>
  <c r="U131" i="1"/>
  <c r="X131" i="1" s="1"/>
  <c r="V125" i="1"/>
  <c r="V118" i="1"/>
  <c r="V115" i="1"/>
  <c r="W27" i="1"/>
  <c r="V136" i="1"/>
  <c r="U134" i="1"/>
  <c r="W124" i="1"/>
  <c r="W121" i="1"/>
  <c r="U119" i="1"/>
  <c r="W28" i="1"/>
  <c r="V135" i="1"/>
  <c r="V139" i="1"/>
  <c r="V140" i="1"/>
  <c r="U136" i="1"/>
  <c r="V116" i="1"/>
  <c r="W120" i="1"/>
  <c r="W132" i="1"/>
  <c r="U127" i="1"/>
  <c r="X127" i="1" s="1"/>
  <c r="U125" i="1"/>
  <c r="V123" i="1"/>
  <c r="V121" i="1"/>
  <c r="V117" i="1"/>
  <c r="W139" i="1"/>
  <c r="W135" i="1"/>
  <c r="W131" i="1"/>
  <c r="W127" i="1"/>
  <c r="W123" i="1"/>
  <c r="W119" i="1"/>
  <c r="W115" i="1"/>
  <c r="X116" i="1" l="1"/>
  <c r="X137" i="1"/>
  <c r="X119" i="1"/>
  <c r="X132" i="1"/>
  <c r="X135" i="1"/>
  <c r="X120" i="1"/>
  <c r="X128" i="1"/>
  <c r="X136" i="1"/>
  <c r="X134" i="1"/>
  <c r="X139" i="1"/>
  <c r="X122" i="1"/>
  <c r="X140" i="1"/>
  <c r="X129" i="1"/>
  <c r="X117" i="1"/>
  <c r="X130" i="1"/>
  <c r="X118" i="1"/>
  <c r="X123" i="1"/>
  <c r="X121" i="1"/>
  <c r="X138" i="1"/>
  <c r="X125" i="1"/>
  <c r="X141" i="1"/>
  <c r="X124" i="1"/>
  <c r="X28" i="1"/>
  <c r="X29" i="1"/>
  <c r="X27" i="1"/>
  <c r="T86" i="1" l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S86" i="1"/>
  <c r="S87" i="1"/>
  <c r="S88" i="1"/>
  <c r="S89" i="1"/>
  <c r="V89" i="1" s="1"/>
  <c r="S90" i="1"/>
  <c r="S91" i="1"/>
  <c r="S92" i="1"/>
  <c r="S93" i="1"/>
  <c r="S94" i="1"/>
  <c r="S95" i="1"/>
  <c r="S96" i="1"/>
  <c r="S97" i="1"/>
  <c r="W97" i="1" s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55" i="1"/>
  <c r="T55" i="1"/>
  <c r="S56" i="1"/>
  <c r="T56" i="1"/>
  <c r="S57" i="1"/>
  <c r="T57" i="1"/>
  <c r="S54" i="1"/>
  <c r="S84" i="1"/>
  <c r="T84" i="1"/>
  <c r="S85" i="1"/>
  <c r="T85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76" i="1"/>
  <c r="U102" i="1" l="1"/>
  <c r="V105" i="1"/>
  <c r="V113" i="1"/>
  <c r="V112" i="1"/>
  <c r="V104" i="1"/>
  <c r="W96" i="1"/>
  <c r="W88" i="1"/>
  <c r="W102" i="1"/>
  <c r="U86" i="1"/>
  <c r="V106" i="1"/>
  <c r="V98" i="1"/>
  <c r="V90" i="1"/>
  <c r="U57" i="1"/>
  <c r="W85" i="1"/>
  <c r="U110" i="1"/>
  <c r="V102" i="1"/>
  <c r="U94" i="1"/>
  <c r="V110" i="1"/>
  <c r="W101" i="1"/>
  <c r="V93" i="1"/>
  <c r="U85" i="1"/>
  <c r="U108" i="1"/>
  <c r="W100" i="1"/>
  <c r="V92" i="1"/>
  <c r="U55" i="1"/>
  <c r="W107" i="1"/>
  <c r="U99" i="1"/>
  <c r="V91" i="1"/>
  <c r="U111" i="1"/>
  <c r="U103" i="1"/>
  <c r="U95" i="1"/>
  <c r="U87" i="1"/>
  <c r="V84" i="1"/>
  <c r="V103" i="1"/>
  <c r="V56" i="1"/>
  <c r="U112" i="1"/>
  <c r="U104" i="1"/>
  <c r="U96" i="1"/>
  <c r="U88" i="1"/>
  <c r="W103" i="1"/>
  <c r="W90" i="1"/>
  <c r="V85" i="1"/>
  <c r="U109" i="1"/>
  <c r="U101" i="1"/>
  <c r="U93" i="1"/>
  <c r="V83" i="1"/>
  <c r="U100" i="1"/>
  <c r="U92" i="1"/>
  <c r="V100" i="1"/>
  <c r="V111" i="1"/>
  <c r="W95" i="1"/>
  <c r="V87" i="1"/>
  <c r="U91" i="1"/>
  <c r="W98" i="1"/>
  <c r="W110" i="1"/>
  <c r="W94" i="1"/>
  <c r="V86" i="1"/>
  <c r="U106" i="1"/>
  <c r="U98" i="1"/>
  <c r="U90" i="1"/>
  <c r="V107" i="1"/>
  <c r="V94" i="1"/>
  <c r="U113" i="1"/>
  <c r="U97" i="1"/>
  <c r="U89" i="1"/>
  <c r="W106" i="1"/>
  <c r="W84" i="1"/>
  <c r="W109" i="1"/>
  <c r="W111" i="1"/>
  <c r="V109" i="1"/>
  <c r="U107" i="1"/>
  <c r="W104" i="1"/>
  <c r="W113" i="1"/>
  <c r="V88" i="1"/>
  <c r="W57" i="1"/>
  <c r="W108" i="1"/>
  <c r="W99" i="1"/>
  <c r="V97" i="1"/>
  <c r="W92" i="1"/>
  <c r="U105" i="1"/>
  <c r="V95" i="1"/>
  <c r="U83" i="1"/>
  <c r="U84" i="1"/>
  <c r="U56" i="1"/>
  <c r="V108" i="1"/>
  <c r="V99" i="1"/>
  <c r="W87" i="1"/>
  <c r="W112" i="1"/>
  <c r="V101" i="1"/>
  <c r="V96" i="1"/>
  <c r="W105" i="1"/>
  <c r="W89" i="1"/>
  <c r="V55" i="1"/>
  <c r="W91" i="1"/>
  <c r="W86" i="1"/>
  <c r="W93" i="1"/>
  <c r="V57" i="1"/>
  <c r="W55" i="1"/>
  <c r="W56" i="1"/>
  <c r="W83" i="1"/>
  <c r="X101" i="1" l="1"/>
  <c r="X96" i="1"/>
  <c r="X85" i="1"/>
  <c r="X57" i="1"/>
  <c r="X112" i="1"/>
  <c r="X102" i="1"/>
  <c r="X95" i="1"/>
  <c r="X110" i="1"/>
  <c r="X113" i="1"/>
  <c r="X103" i="1"/>
  <c r="X93" i="1"/>
  <c r="X97" i="1"/>
  <c r="X94" i="1"/>
  <c r="X88" i="1"/>
  <c r="X91" i="1"/>
  <c r="X90" i="1"/>
  <c r="X84" i="1"/>
  <c r="X104" i="1"/>
  <c r="X100" i="1"/>
  <c r="X55" i="1"/>
  <c r="X111" i="1"/>
  <c r="X56" i="1"/>
  <c r="X108" i="1"/>
  <c r="X109" i="1"/>
  <c r="X98" i="1"/>
  <c r="X86" i="1"/>
  <c r="X106" i="1"/>
  <c r="X87" i="1"/>
  <c r="X89" i="1"/>
  <c r="X99" i="1"/>
  <c r="X92" i="1"/>
  <c r="X107" i="1"/>
  <c r="X83" i="1"/>
  <c r="X105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W80" i="1"/>
  <c r="V81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S31" i="1"/>
  <c r="S32" i="1"/>
  <c r="S33" i="1"/>
  <c r="V33" i="1" s="1"/>
  <c r="S34" i="1"/>
  <c r="S35" i="1"/>
  <c r="S36" i="1"/>
  <c r="S37" i="1"/>
  <c r="S38" i="1"/>
  <c r="S39" i="1"/>
  <c r="S40" i="1"/>
  <c r="S41" i="1"/>
  <c r="V41" i="1" s="1"/>
  <c r="S42" i="1"/>
  <c r="S43" i="1"/>
  <c r="S44" i="1"/>
  <c r="S45" i="1"/>
  <c r="S46" i="1"/>
  <c r="S47" i="1"/>
  <c r="S48" i="1"/>
  <c r="S49" i="1"/>
  <c r="V49" i="1" s="1"/>
  <c r="S50" i="1"/>
  <c r="S51" i="1"/>
  <c r="S52" i="1"/>
  <c r="S53" i="1"/>
  <c r="W67" i="1" l="1"/>
  <c r="W53" i="1"/>
  <c r="W45" i="1"/>
  <c r="W37" i="1"/>
  <c r="W50" i="1"/>
  <c r="W42" i="1"/>
  <c r="V34" i="1"/>
  <c r="W74" i="1"/>
  <c r="W66" i="1"/>
  <c r="W58" i="1"/>
  <c r="W72" i="1"/>
  <c r="W64" i="1"/>
  <c r="V51" i="1"/>
  <c r="V43" i="1"/>
  <c r="V35" i="1"/>
  <c r="U52" i="1"/>
  <c r="U44" i="1"/>
  <c r="U36" i="1"/>
  <c r="V73" i="1"/>
  <c r="V65" i="1"/>
  <c r="U54" i="1"/>
  <c r="U46" i="1"/>
  <c r="V38" i="1"/>
  <c r="U47" i="1"/>
  <c r="U39" i="1"/>
  <c r="U81" i="1"/>
  <c r="U73" i="1"/>
  <c r="W59" i="1"/>
  <c r="V52" i="1"/>
  <c r="V44" i="1"/>
  <c r="V36" i="1"/>
  <c r="U53" i="1"/>
  <c r="U45" i="1"/>
  <c r="U37" i="1"/>
  <c r="U58" i="1"/>
  <c r="V74" i="1"/>
  <c r="U48" i="1"/>
  <c r="U40" i="1"/>
  <c r="U32" i="1"/>
  <c r="U61" i="1"/>
  <c r="V47" i="1"/>
  <c r="V39" i="1"/>
  <c r="V31" i="1"/>
  <c r="W77" i="1"/>
  <c r="V46" i="1"/>
  <c r="V66" i="1"/>
  <c r="U38" i="1"/>
  <c r="W75" i="1"/>
  <c r="V45" i="1"/>
  <c r="U65" i="1"/>
  <c r="V58" i="1"/>
  <c r="U51" i="1"/>
  <c r="U43" i="1"/>
  <c r="U35" i="1"/>
  <c r="V37" i="1"/>
  <c r="U82" i="1"/>
  <c r="U50" i="1"/>
  <c r="U42" i="1"/>
  <c r="U34" i="1"/>
  <c r="V54" i="1"/>
  <c r="W60" i="1"/>
  <c r="V48" i="1"/>
  <c r="V40" i="1"/>
  <c r="V32" i="1"/>
  <c r="U49" i="1"/>
  <c r="U41" i="1"/>
  <c r="U33" i="1"/>
  <c r="V53" i="1"/>
  <c r="V72" i="1"/>
  <c r="W79" i="1"/>
  <c r="W71" i="1"/>
  <c r="W63" i="1"/>
  <c r="V78" i="1"/>
  <c r="V62" i="1"/>
  <c r="U77" i="1"/>
  <c r="W69" i="1"/>
  <c r="W76" i="1"/>
  <c r="U72" i="1"/>
  <c r="V80" i="1"/>
  <c r="V64" i="1"/>
  <c r="V75" i="1"/>
  <c r="V67" i="1"/>
  <c r="V59" i="1"/>
  <c r="U69" i="1"/>
  <c r="U74" i="1"/>
  <c r="U66" i="1"/>
  <c r="V50" i="1"/>
  <c r="V42" i="1"/>
  <c r="V70" i="1"/>
  <c r="W61" i="1"/>
  <c r="W68" i="1"/>
  <c r="W81" i="1"/>
  <c r="W73" i="1"/>
  <c r="W65" i="1"/>
  <c r="U64" i="1"/>
  <c r="U80" i="1"/>
  <c r="V82" i="1"/>
  <c r="W82" i="1"/>
  <c r="U79" i="1"/>
  <c r="U71" i="1"/>
  <c r="U63" i="1"/>
  <c r="U76" i="1"/>
  <c r="U68" i="1"/>
  <c r="U60" i="1"/>
  <c r="V77" i="1"/>
  <c r="V69" i="1"/>
  <c r="V61" i="1"/>
  <c r="W78" i="1"/>
  <c r="W70" i="1"/>
  <c r="W62" i="1"/>
  <c r="U78" i="1"/>
  <c r="U62" i="1"/>
  <c r="V79" i="1"/>
  <c r="V71" i="1"/>
  <c r="V63" i="1"/>
  <c r="U75" i="1"/>
  <c r="U67" i="1"/>
  <c r="U59" i="1"/>
  <c r="V76" i="1"/>
  <c r="V68" i="1"/>
  <c r="V60" i="1"/>
  <c r="U70" i="1"/>
  <c r="W35" i="1"/>
  <c r="W51" i="1"/>
  <c r="W34" i="1"/>
  <c r="W44" i="1"/>
  <c r="W49" i="1"/>
  <c r="W43" i="1"/>
  <c r="W41" i="1"/>
  <c r="W36" i="1"/>
  <c r="W52" i="1"/>
  <c r="W33" i="1"/>
  <c r="W48" i="1"/>
  <c r="W40" i="1"/>
  <c r="W32" i="1"/>
  <c r="W47" i="1"/>
  <c r="W39" i="1"/>
  <c r="W31" i="1"/>
  <c r="W54" i="1"/>
  <c r="W46" i="1"/>
  <c r="W38" i="1"/>
  <c r="H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" i="1"/>
  <c r="O2" i="1"/>
  <c r="T2" i="1" s="1"/>
  <c r="O3" i="1"/>
  <c r="T3" i="1" s="1"/>
  <c r="H3" i="1"/>
  <c r="H4" i="1"/>
  <c r="O5" i="1"/>
  <c r="T5" i="1" s="1"/>
  <c r="O6" i="1"/>
  <c r="T6" i="1" s="1"/>
  <c r="O7" i="1"/>
  <c r="T7" i="1" s="1"/>
  <c r="O8" i="1"/>
  <c r="T8" i="1" s="1"/>
  <c r="O9" i="1"/>
  <c r="T9" i="1" s="1"/>
  <c r="O10" i="1"/>
  <c r="T10" i="1" s="1"/>
  <c r="O11" i="1"/>
  <c r="T11" i="1" s="1"/>
  <c r="O12" i="1"/>
  <c r="T12" i="1" s="1"/>
  <c r="O13" i="1"/>
  <c r="T13" i="1" s="1"/>
  <c r="O14" i="1"/>
  <c r="T14" i="1" s="1"/>
  <c r="O15" i="1"/>
  <c r="T15" i="1" s="1"/>
  <c r="O16" i="1"/>
  <c r="T16" i="1" s="1"/>
  <c r="O17" i="1"/>
  <c r="T17" i="1" s="1"/>
  <c r="O18" i="1"/>
  <c r="T18" i="1" s="1"/>
  <c r="O19" i="1"/>
  <c r="T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U26" i="1" s="1"/>
  <c r="O4" i="1"/>
  <c r="T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X37" i="1" l="1"/>
  <c r="X45" i="1"/>
  <c r="X53" i="1"/>
  <c r="U2" i="1"/>
  <c r="X74" i="1"/>
  <c r="X35" i="1"/>
  <c r="X60" i="1"/>
  <c r="U20" i="1"/>
  <c r="X51" i="1"/>
  <c r="X77" i="1"/>
  <c r="U4" i="1"/>
  <c r="X59" i="1"/>
  <c r="X66" i="1"/>
  <c r="X64" i="1"/>
  <c r="X50" i="1"/>
  <c r="X65" i="1"/>
  <c r="X49" i="1"/>
  <c r="X73" i="1"/>
  <c r="U22" i="1"/>
  <c r="U14" i="1"/>
  <c r="U6" i="1"/>
  <c r="X44" i="1"/>
  <c r="X81" i="1"/>
  <c r="X76" i="1"/>
  <c r="X58" i="1"/>
  <c r="X80" i="1"/>
  <c r="X32" i="1"/>
  <c r="V25" i="1"/>
  <c r="V17" i="1"/>
  <c r="V9" i="1"/>
  <c r="X61" i="1"/>
  <c r="X72" i="1"/>
  <c r="U21" i="1"/>
  <c r="U13" i="1"/>
  <c r="U5" i="1"/>
  <c r="U12" i="1"/>
  <c r="X40" i="1"/>
  <c r="V24" i="1"/>
  <c r="V23" i="1"/>
  <c r="V15" i="1"/>
  <c r="V7" i="1"/>
  <c r="U19" i="1"/>
  <c r="U11" i="1"/>
  <c r="X75" i="1"/>
  <c r="X63" i="1"/>
  <c r="V8" i="1"/>
  <c r="U18" i="1"/>
  <c r="U10" i="1"/>
  <c r="U3" i="1"/>
  <c r="X78" i="1"/>
  <c r="X71" i="1"/>
  <c r="V16" i="1"/>
  <c r="X79" i="1"/>
  <c r="X69" i="1"/>
  <c r="V22" i="1"/>
  <c r="V21" i="1"/>
  <c r="V13" i="1"/>
  <c r="V5" i="1"/>
  <c r="X82" i="1"/>
  <c r="V20" i="1"/>
  <c r="V12" i="1"/>
  <c r="V4" i="1"/>
  <c r="V6" i="1"/>
  <c r="U17" i="1"/>
  <c r="U24" i="1"/>
  <c r="U16" i="1"/>
  <c r="U8" i="1"/>
  <c r="V19" i="1"/>
  <c r="V11" i="1"/>
  <c r="X68" i="1"/>
  <c r="V14" i="1"/>
  <c r="U25" i="1"/>
  <c r="U9" i="1"/>
  <c r="U23" i="1"/>
  <c r="U15" i="1"/>
  <c r="U7" i="1"/>
  <c r="V26" i="1"/>
  <c r="V18" i="1"/>
  <c r="V10" i="1"/>
  <c r="X67" i="1"/>
  <c r="X62" i="1"/>
  <c r="X70" i="1"/>
  <c r="X41" i="1"/>
  <c r="X48" i="1"/>
  <c r="X38" i="1"/>
  <c r="X39" i="1"/>
  <c r="X36" i="1"/>
  <c r="X46" i="1"/>
  <c r="X47" i="1"/>
  <c r="X54" i="1"/>
  <c r="X52" i="1"/>
  <c r="X43" i="1"/>
  <c r="X34" i="1"/>
  <c r="X42" i="1"/>
  <c r="X33" i="1"/>
  <c r="W12" i="1"/>
  <c r="W4" i="1"/>
  <c r="W2" i="1"/>
  <c r="V2" i="1"/>
  <c r="W3" i="1"/>
  <c r="V3" i="1"/>
  <c r="W18" i="1"/>
  <c r="W10" i="1"/>
  <c r="W17" i="1"/>
  <c r="W9" i="1"/>
  <c r="W16" i="1"/>
  <c r="W8" i="1"/>
  <c r="W15" i="1"/>
  <c r="W7" i="1"/>
  <c r="W14" i="1"/>
  <c r="W6" i="1"/>
  <c r="W19" i="1"/>
  <c r="W11" i="1"/>
  <c r="W13" i="1"/>
  <c r="W5" i="1"/>
  <c r="W25" i="1"/>
  <c r="W20" i="1"/>
  <c r="W24" i="1"/>
  <c r="W23" i="1"/>
  <c r="W22" i="1"/>
  <c r="W21" i="1"/>
  <c r="W26" i="1"/>
  <c r="X4" i="1" l="1"/>
  <c r="X26" i="1"/>
  <c r="X22" i="1"/>
  <c r="X20" i="1"/>
  <c r="X17" i="1"/>
  <c r="X8" i="1"/>
  <c r="X16" i="1"/>
  <c r="X9" i="1"/>
  <c r="X21" i="1"/>
  <c r="X11" i="1"/>
  <c r="X7" i="1"/>
  <c r="X25" i="1"/>
  <c r="X2" i="1"/>
  <c r="X13" i="1"/>
  <c r="X18" i="1"/>
  <c r="X19" i="1"/>
  <c r="X6" i="1"/>
  <c r="X12" i="1"/>
  <c r="X23" i="1"/>
  <c r="X15" i="1"/>
  <c r="X3" i="1"/>
  <c r="X24" i="1"/>
  <c r="X5" i="1"/>
  <c r="X14" i="1"/>
  <c r="X10" i="1"/>
</calcChain>
</file>

<file path=xl/sharedStrings.xml><?xml version="1.0" encoding="utf-8"?>
<sst xmlns="http://schemas.openxmlformats.org/spreadsheetml/2006/main" count="341" uniqueCount="60">
  <si>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</si>
  <si>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</si>
  <si>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</si>
  <si>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</si>
  <si>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</si>
  <si>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</si>
  <si>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</si>
  <si>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</si>
  <si>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</si>
  <si>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</si>
  <si>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</si>
  <si>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</si>
  <si>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</si>
  <si>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</si>
  <si>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</si>
  <si>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</si>
  <si>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</si>
  <si>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</si>
  <si>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</si>
  <si>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</si>
  <si>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</si>
  <si>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</si>
  <si>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TAC</t>
  </si>
  <si>
    <t>2021-22</t>
  </si>
  <si>
    <t>beach</t>
  </si>
  <si>
    <t>year</t>
  </si>
  <si>
    <t>recruits</t>
  </si>
  <si>
    <t>ER</t>
  </si>
  <si>
    <t>Long Beach</t>
  </si>
  <si>
    <t>BSMY</t>
  </si>
  <si>
    <t>1998-99</t>
  </si>
  <si>
    <t>1997-98</t>
  </si>
  <si>
    <t>pre_recruits</t>
  </si>
  <si>
    <t>season</t>
  </si>
  <si>
    <t>over_40%</t>
  </si>
  <si>
    <t>10_to_40%</t>
  </si>
  <si>
    <t>Copalis</t>
  </si>
  <si>
    <t>low_pre_recruits</t>
  </si>
  <si>
    <t>ER_calc</t>
  </si>
  <si>
    <t>Mocrocks</t>
  </si>
  <si>
    <t>ratio_pre-recruit_recruit</t>
  </si>
  <si>
    <t>ratio_recruit_BSMY</t>
  </si>
  <si>
    <t>2022-23</t>
  </si>
  <si>
    <t>2023-24</t>
  </si>
  <si>
    <t>2024-25</t>
  </si>
  <si>
    <t>Twin Harbors</t>
  </si>
  <si>
    <t>TAC_state</t>
  </si>
  <si>
    <t>TAC_tribal</t>
  </si>
  <si>
    <t>TAC_used_total</t>
  </si>
  <si>
    <t>TAC_used_state</t>
  </si>
  <si>
    <t>TAC_used_tribal</t>
  </si>
  <si>
    <t>harvest_state</t>
  </si>
  <si>
    <t>effort_state</t>
  </si>
  <si>
    <t>harvest_tribal</t>
  </si>
  <si>
    <t>harvest_total</t>
  </si>
  <si>
    <t>Beach</t>
  </si>
  <si>
    <t>Kalaloch</t>
  </si>
  <si>
    <t>Order</t>
  </si>
  <si>
    <t>habitat_m2</t>
  </si>
  <si>
    <t>ER_actual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</si>
</sst>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" xfId="1" xr:uid="{86D9E9E5-5FC4-437A-B2E4-931AA78681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0D4B-DE81-47F0-8158-72C92355042D}">
  <dimension ref="A1:Y141"/>
  <sheetViews>
    <sheetView tabSelected="1" topLeftCell="G1" workbookViewId="0">
      <pane ySplit="1" topLeftCell="A107" activePane="bottomLeft" state="frozen"/>
      <selection pane="bottomLeft" activeCell="Q114" sqref="Q114"/>
    </sheetView>
  </sheetViews>
  <sheetFormatPr defaultRowHeight="15" x14ac:dyDescent="0.25"/>
  <cols>
    <col min="1" max="1" width="14" style="1" customWidth="1"/>
    <col min="2" max="2" width="10.85546875" style="1" customWidth="1"/>
    <col min="3" max="3" width="9.140625" style="1"/>
    <col min="4" max="4" width="20.140625" style="1" bestFit="1" customWidth="1"/>
    <col min="5" max="5" width="10.140625" style="1" bestFit="1" customWidth="1"/>
    <col min="6" max="6" width="12.42578125" style="1" customWidth="1"/>
    <col min="7" max="7" width="9.140625" style="1"/>
    <col min="8" max="14" width="14.5703125" style="2" customWidth="1"/>
    <col min="15" max="15" width="9.140625" style="1" bestFit="1" customWidth="1"/>
    <col min="16" max="16" width="15" style="4" bestFit="1" customWidth="1"/>
    <col min="17" max="17" width="15.28515625" style="4" bestFit="1" customWidth="1"/>
    <col min="18" max="18" width="15.5703125" style="4" bestFit="1" customWidth="1"/>
    <col min="19" max="19" width="23" style="1" bestFit="1" customWidth="1"/>
    <col min="20" max="20" width="18.140625" style="1" bestFit="1" customWidth="1"/>
    <col min="21" max="21" width="9.140625" style="1"/>
    <col min="22" max="22" width="10.85546875" style="1" customWidth="1"/>
    <col min="23" max="23" width="16.140625" style="1" bestFit="1" customWidth="1"/>
    <col min="24" max="24" width="9.140625" style="1"/>
    <col min="25" max="25" width="9.140625" style="4"/>
  </cols>
  <sheetData>
    <row r="1" spans="1:25" x14ac:dyDescent="0.25">
      <c r="A1" s="1" t="s">
        <v>24</v>
      </c>
      <c r="B1" s="1" t="s">
        <v>25</v>
      </c>
      <c r="C1" s="1" t="s">
        <v>33</v>
      </c>
      <c r="D1" s="1" t="s">
        <v>58</v>
      </c>
      <c r="E1" s="1" t="s">
        <v>26</v>
      </c>
      <c r="F1" s="1" t="s">
        <v>32</v>
      </c>
      <c r="G1" s="1" t="s">
        <v>27</v>
      </c>
      <c r="H1" s="2" t="s">
        <v>22</v>
      </c>
      <c r="I1" s="2" t="s">
        <v>46</v>
      </c>
      <c r="J1" s="2" t="s">
        <v>47</v>
      </c>
      <c r="K1" s="2" t="s">
        <v>54</v>
      </c>
      <c r="L1" s="2" t="s">
        <v>51</v>
      </c>
      <c r="M1" s="2" t="s">
        <v>53</v>
      </c>
      <c r="N1" s="2" t="s">
        <v>52</v>
      </c>
      <c r="O1" s="1" t="s">
        <v>29</v>
      </c>
      <c r="P1" s="4" t="s">
        <v>48</v>
      </c>
      <c r="Q1" s="4" t="s">
        <v>49</v>
      </c>
      <c r="R1" s="4" t="s">
        <v>50</v>
      </c>
      <c r="S1" s="1" t="s">
        <v>40</v>
      </c>
      <c r="T1" s="1" t="s">
        <v>41</v>
      </c>
      <c r="U1" s="1" t="s">
        <v>34</v>
      </c>
      <c r="V1" s="1" t="s">
        <v>35</v>
      </c>
      <c r="W1" s="1" t="s">
        <v>37</v>
      </c>
      <c r="X1" s="1" t="s">
        <v>38</v>
      </c>
      <c r="Y1" s="4" t="s">
        <v>59</v>
      </c>
    </row>
    <row r="2" spans="1:25" x14ac:dyDescent="0.25">
      <c r="A2" s="1" t="s">
        <v>28</v>
      </c>
      <c r="B2" s="1">
        <v>1</v>
      </c>
      <c r="C2" s="1" t="s">
        <v>31</v>
      </c>
      <c r="D2" s="2">
        <v>7063716</v>
      </c>
      <c r="E2" s="2">
        <v>2119325</v>
      </c>
      <c r="F2" s="2">
        <v>3831718</v>
      </c>
      <c r="G2" s="1">
        <v>25.4</v>
      </c>
      <c r="H2" s="2">
        <f>E2*G2/100</f>
        <v>538308.55000000005</v>
      </c>
      <c r="I2" s="2">
        <f>H2</f>
        <v>538308.55000000005</v>
      </c>
      <c r="K2" s="2">
        <f>L2+M2</f>
        <v>495615</v>
      </c>
      <c r="L2" s="2">
        <v>495615</v>
      </c>
      <c r="N2" s="2">
        <v>56085</v>
      </c>
      <c r="O2" s="2">
        <f t="shared" ref="O2:O3" si="0">$E$6</f>
        <v>7959677</v>
      </c>
      <c r="S2" s="3">
        <f t="shared" ref="S2:S26" si="1">F2/E2*100</f>
        <v>180.79898080756846</v>
      </c>
      <c r="T2" s="1">
        <f t="shared" ref="T2:T26" si="2">ROUND(E2/O2,3)*100</f>
        <v>26.6</v>
      </c>
      <c r="U2" s="1" t="str">
        <f>IF(AND(T2&gt;40,S2&gt;=100),ROUND(30+13*((T2-40)/(100-40)),1),"")</f>
        <v/>
      </c>
      <c r="V2" s="1">
        <f t="shared" ref="V2:V71" si="3">IF(AND(S2&gt;=100,T2&gt;=10,T2&lt;=40),ROUND(30*((T2-10)/(40-10)),1),"")</f>
        <v>16.600000000000001</v>
      </c>
      <c r="W2" s="1" t="str">
        <f t="shared" ref="W2:W54" si="4">IF(AND(S2&lt;100,T2&gt;=25),(30*(T2-25)/(100-25)),"")</f>
        <v/>
      </c>
      <c r="X2" s="1">
        <f>IF(SUM(U2:W2)&gt;40,40,SUM(U2:W2))</f>
        <v>16.600000000000001</v>
      </c>
      <c r="Y2" s="4">
        <f>K2/E2*100</f>
        <v>23.385511896476473</v>
      </c>
    </row>
    <row r="3" spans="1:25" x14ac:dyDescent="0.25">
      <c r="A3" s="1" t="s">
        <v>28</v>
      </c>
      <c r="B3" s="1">
        <v>2</v>
      </c>
      <c r="C3" s="1" t="s">
        <v>30</v>
      </c>
      <c r="D3" s="2">
        <v>7063716</v>
      </c>
      <c r="E3" s="2">
        <v>2422618</v>
      </c>
      <c r="F3" s="2">
        <v>2645228</v>
      </c>
      <c r="G3" s="1">
        <v>25.4</v>
      </c>
      <c r="H3" s="2">
        <f t="shared" ref="H3" si="5">E3*G3/100</f>
        <v>615344.97199999995</v>
      </c>
      <c r="I3" s="2">
        <f t="shared" ref="I3:I29" si="6">H3</f>
        <v>615344.97199999995</v>
      </c>
      <c r="K3" s="2">
        <f t="shared" ref="K3:K66" si="7">L3+M3</f>
        <v>0</v>
      </c>
      <c r="L3" s="2">
        <v>0</v>
      </c>
      <c r="N3" s="2">
        <v>0</v>
      </c>
      <c r="O3" s="2">
        <f t="shared" si="0"/>
        <v>7959677</v>
      </c>
      <c r="S3" s="3">
        <f t="shared" si="1"/>
        <v>109.18881969835938</v>
      </c>
      <c r="T3" s="1">
        <f t="shared" si="2"/>
        <v>30.4</v>
      </c>
      <c r="U3" s="1" t="str">
        <f t="shared" ref="U3:U72" si="8">IF(AND(T3&gt;40,S3&gt;=100),ROUND(30+13*((T3-40)/(100-40)),1),"")</f>
        <v/>
      </c>
      <c r="V3" s="1">
        <f t="shared" si="3"/>
        <v>20.399999999999999</v>
      </c>
      <c r="W3" s="1" t="str">
        <f t="shared" si="4"/>
        <v/>
      </c>
      <c r="X3" s="1">
        <f t="shared" ref="X3:X54" si="9">IF(SUM(U3:W3)&gt;40,40,SUM(U3:W3))</f>
        <v>20.399999999999999</v>
      </c>
      <c r="Y3" s="4">
        <f t="shared" ref="Y3:Y66" si="10">K3/E3*100</f>
        <v>0</v>
      </c>
    </row>
    <row r="4" spans="1:25" x14ac:dyDescent="0.25">
      <c r="A4" s="1" t="s">
        <v>28</v>
      </c>
      <c r="B4" s="1">
        <v>3</v>
      </c>
      <c r="C4" s="1" t="s">
        <v>0</v>
      </c>
      <c r="D4" s="2">
        <v>7063716</v>
      </c>
      <c r="E4" s="2">
        <v>4090683</v>
      </c>
      <c r="F4" s="2">
        <v>5582944</v>
      </c>
      <c r="G4" s="1">
        <v>25.4</v>
      </c>
      <c r="H4" s="2">
        <f>E4*G4/100</f>
        <v>1039033.4819999998</v>
      </c>
      <c r="I4" s="2">
        <f t="shared" si="6"/>
        <v>1039033.4819999998</v>
      </c>
      <c r="K4" s="2">
        <f t="shared" si="7"/>
        <v>1194779</v>
      </c>
      <c r="L4" s="2">
        <v>1194779</v>
      </c>
      <c r="N4" s="2">
        <v>91826</v>
      </c>
      <c r="O4" s="2">
        <f>$E$6</f>
        <v>7959677</v>
      </c>
      <c r="P4" s="4">
        <v>114.99999999999999</v>
      </c>
      <c r="S4" s="3">
        <f t="shared" si="1"/>
        <v>136.47950721187635</v>
      </c>
      <c r="T4" s="1">
        <f t="shared" si="2"/>
        <v>51.4</v>
      </c>
      <c r="U4" s="1">
        <f t="shared" si="8"/>
        <v>32.5</v>
      </c>
      <c r="V4" s="1" t="str">
        <f t="shared" si="3"/>
        <v/>
      </c>
      <c r="W4" s="1" t="str">
        <f t="shared" si="4"/>
        <v/>
      </c>
      <c r="X4" s="1">
        <f t="shared" si="9"/>
        <v>32.5</v>
      </c>
      <c r="Y4" s="4">
        <f t="shared" si="10"/>
        <v>29.207323080277792</v>
      </c>
    </row>
    <row r="5" spans="1:25" x14ac:dyDescent="0.25">
      <c r="A5" s="1" t="s">
        <v>28</v>
      </c>
      <c r="B5" s="1">
        <v>4</v>
      </c>
      <c r="C5" s="1" t="s">
        <v>1</v>
      </c>
      <c r="D5" s="2">
        <v>7063716</v>
      </c>
      <c r="E5" s="2">
        <v>4472665</v>
      </c>
      <c r="F5" s="2">
        <v>961200</v>
      </c>
      <c r="G5" s="1">
        <v>25.4</v>
      </c>
      <c r="H5" s="2">
        <f t="shared" ref="H5:H25" si="11">E5*G5/100</f>
        <v>1136056.9099999999</v>
      </c>
      <c r="I5" s="2">
        <f t="shared" si="6"/>
        <v>1136056.9099999999</v>
      </c>
      <c r="K5" s="2">
        <f t="shared" si="7"/>
        <v>1098115</v>
      </c>
      <c r="L5" s="2">
        <v>1098115</v>
      </c>
      <c r="N5" s="2">
        <v>82646</v>
      </c>
      <c r="O5" s="2">
        <f t="shared" ref="O5:O29" si="12">$E$6</f>
        <v>7959677</v>
      </c>
      <c r="P5" s="4">
        <v>96.7</v>
      </c>
      <c r="S5" s="3">
        <f t="shared" si="1"/>
        <v>21.490543110203873</v>
      </c>
      <c r="T5" s="1">
        <f t="shared" si="2"/>
        <v>56.2</v>
      </c>
      <c r="U5" s="1" t="str">
        <f t="shared" si="8"/>
        <v/>
      </c>
      <c r="V5" s="1" t="str">
        <f t="shared" si="3"/>
        <v/>
      </c>
      <c r="W5" s="1">
        <f t="shared" si="4"/>
        <v>12.480000000000002</v>
      </c>
      <c r="X5" s="1">
        <f t="shared" si="9"/>
        <v>12.480000000000002</v>
      </c>
      <c r="Y5" s="4">
        <f t="shared" si="10"/>
        <v>24.551693453455602</v>
      </c>
    </row>
    <row r="6" spans="1:25" x14ac:dyDescent="0.25">
      <c r="A6" s="1" t="s">
        <v>28</v>
      </c>
      <c r="B6" s="1">
        <v>5</v>
      </c>
      <c r="C6" s="1" t="s">
        <v>2</v>
      </c>
      <c r="D6" s="2">
        <v>7078432</v>
      </c>
      <c r="E6" s="2">
        <v>7959677</v>
      </c>
      <c r="F6" s="2">
        <v>16525001</v>
      </c>
      <c r="G6" s="1">
        <v>25.4</v>
      </c>
      <c r="H6" s="2">
        <f t="shared" si="11"/>
        <v>2021757.9579999999</v>
      </c>
      <c r="I6" s="2">
        <f t="shared" si="6"/>
        <v>2021757.9579999999</v>
      </c>
      <c r="K6" s="2">
        <f t="shared" si="7"/>
        <v>1865729</v>
      </c>
      <c r="L6" s="2">
        <v>1865729</v>
      </c>
      <c r="N6" s="2">
        <v>131575</v>
      </c>
      <c r="O6" s="2">
        <f t="shared" si="12"/>
        <v>7959677</v>
      </c>
      <c r="P6" s="4">
        <v>92.300000000000011</v>
      </c>
      <c r="S6" s="3">
        <f t="shared" si="1"/>
        <v>207.60893940796845</v>
      </c>
      <c r="T6" s="1">
        <f t="shared" si="2"/>
        <v>100</v>
      </c>
      <c r="U6" s="1">
        <f t="shared" si="8"/>
        <v>43</v>
      </c>
      <c r="V6" s="1" t="str">
        <f t="shared" si="3"/>
        <v/>
      </c>
      <c r="W6" s="1" t="str">
        <f t="shared" si="4"/>
        <v/>
      </c>
      <c r="X6" s="1">
        <f t="shared" si="9"/>
        <v>40</v>
      </c>
      <c r="Y6" s="4">
        <f t="shared" si="10"/>
        <v>23.439757668558663</v>
      </c>
    </row>
    <row r="7" spans="1:25" x14ac:dyDescent="0.25">
      <c r="A7" s="1" t="s">
        <v>28</v>
      </c>
      <c r="B7" s="1">
        <v>6</v>
      </c>
      <c r="C7" s="1" t="s">
        <v>3</v>
      </c>
      <c r="D7" s="2">
        <v>7078432</v>
      </c>
      <c r="E7" s="2">
        <v>11729090</v>
      </c>
      <c r="F7" s="2">
        <v>39094638</v>
      </c>
      <c r="G7" s="1">
        <v>25.4</v>
      </c>
      <c r="H7" s="2">
        <f t="shared" si="11"/>
        <v>2979188.86</v>
      </c>
      <c r="I7" s="2">
        <f t="shared" si="6"/>
        <v>2979188.86</v>
      </c>
      <c r="K7" s="2">
        <f t="shared" si="7"/>
        <v>0</v>
      </c>
      <c r="L7" s="2">
        <v>0</v>
      </c>
      <c r="N7" s="2">
        <v>0</v>
      </c>
      <c r="O7" s="2">
        <f t="shared" si="12"/>
        <v>7959677</v>
      </c>
      <c r="S7" s="3">
        <f t="shared" si="1"/>
        <v>333.31347956235311</v>
      </c>
      <c r="T7" s="1">
        <f t="shared" si="2"/>
        <v>147.4</v>
      </c>
      <c r="U7" s="1">
        <f t="shared" si="8"/>
        <v>53.3</v>
      </c>
      <c r="V7" s="1" t="str">
        <f t="shared" si="3"/>
        <v/>
      </c>
      <c r="W7" s="1" t="str">
        <f t="shared" si="4"/>
        <v/>
      </c>
      <c r="X7" s="1">
        <f t="shared" si="9"/>
        <v>40</v>
      </c>
      <c r="Y7" s="4">
        <f t="shared" si="10"/>
        <v>0</v>
      </c>
    </row>
    <row r="8" spans="1:25" x14ac:dyDescent="0.25">
      <c r="A8" s="1" t="s">
        <v>28</v>
      </c>
      <c r="B8" s="1">
        <v>7</v>
      </c>
      <c r="C8" s="1" t="s">
        <v>4</v>
      </c>
      <c r="D8" s="2">
        <v>7078432</v>
      </c>
      <c r="E8" s="2">
        <v>4424363</v>
      </c>
      <c r="F8" s="2">
        <v>21160972</v>
      </c>
      <c r="G8" s="1">
        <v>30</v>
      </c>
      <c r="H8" s="2">
        <f t="shared" si="11"/>
        <v>1327308.8999999999</v>
      </c>
      <c r="I8" s="2">
        <f t="shared" si="6"/>
        <v>1327308.8999999999</v>
      </c>
      <c r="K8" s="2">
        <f t="shared" si="7"/>
        <v>1290978</v>
      </c>
      <c r="L8" s="2">
        <v>1290978</v>
      </c>
      <c r="N8" s="2">
        <v>109483</v>
      </c>
      <c r="O8" s="2">
        <f t="shared" si="12"/>
        <v>7959677</v>
      </c>
      <c r="P8" s="4">
        <v>97.3</v>
      </c>
      <c r="S8" s="3">
        <f t="shared" si="1"/>
        <v>478.28290761856567</v>
      </c>
      <c r="T8" s="1">
        <f t="shared" si="2"/>
        <v>55.600000000000009</v>
      </c>
      <c r="U8" s="1">
        <f t="shared" si="8"/>
        <v>33.4</v>
      </c>
      <c r="V8" s="1" t="str">
        <f t="shared" si="3"/>
        <v/>
      </c>
      <c r="W8" s="1" t="str">
        <f t="shared" si="4"/>
        <v/>
      </c>
      <c r="X8" s="1">
        <f t="shared" si="9"/>
        <v>33.4</v>
      </c>
      <c r="Y8" s="4">
        <f t="shared" si="10"/>
        <v>29.178844502587154</v>
      </c>
    </row>
    <row r="9" spans="1:25" x14ac:dyDescent="0.25">
      <c r="A9" s="1" t="s">
        <v>28</v>
      </c>
      <c r="B9" s="1">
        <v>8</v>
      </c>
      <c r="C9" s="1" t="s">
        <v>5</v>
      </c>
      <c r="D9" s="2">
        <v>7078432</v>
      </c>
      <c r="E9" s="2">
        <v>6265021</v>
      </c>
      <c r="F9" s="2">
        <v>24964188</v>
      </c>
      <c r="G9" s="1">
        <v>30</v>
      </c>
      <c r="H9" s="2">
        <f t="shared" si="11"/>
        <v>1879506.3</v>
      </c>
      <c r="I9" s="2">
        <f t="shared" si="6"/>
        <v>1879506.3</v>
      </c>
      <c r="K9" s="2">
        <f t="shared" si="7"/>
        <v>2810608</v>
      </c>
      <c r="L9" s="2">
        <v>2810608</v>
      </c>
      <c r="N9" s="2">
        <v>118491</v>
      </c>
      <c r="O9" s="2">
        <f t="shared" si="12"/>
        <v>7959677</v>
      </c>
      <c r="P9" s="4">
        <v>149.5</v>
      </c>
      <c r="S9" s="3">
        <f t="shared" si="1"/>
        <v>398.46934272047929</v>
      </c>
      <c r="T9" s="1">
        <f t="shared" si="2"/>
        <v>78.7</v>
      </c>
      <c r="U9" s="1">
        <f t="shared" si="8"/>
        <v>38.4</v>
      </c>
      <c r="V9" s="1" t="str">
        <f t="shared" si="3"/>
        <v/>
      </c>
      <c r="W9" s="1" t="str">
        <f t="shared" si="4"/>
        <v/>
      </c>
      <c r="X9" s="1">
        <f t="shared" si="9"/>
        <v>38.4</v>
      </c>
      <c r="Y9" s="4">
        <f t="shared" si="10"/>
        <v>44.86190868314727</v>
      </c>
    </row>
    <row r="10" spans="1:25" x14ac:dyDescent="0.25">
      <c r="A10" s="1" t="s">
        <v>28</v>
      </c>
      <c r="B10" s="1">
        <v>9</v>
      </c>
      <c r="C10" s="1" t="s">
        <v>6</v>
      </c>
      <c r="D10" s="2">
        <v>7078432</v>
      </c>
      <c r="E10" s="2">
        <v>4464062</v>
      </c>
      <c r="F10" s="2">
        <v>18349025</v>
      </c>
      <c r="G10" s="1">
        <v>30</v>
      </c>
      <c r="H10" s="2">
        <f t="shared" si="11"/>
        <v>1339218.6000000001</v>
      </c>
      <c r="I10" s="2">
        <f t="shared" si="6"/>
        <v>1339218.6000000001</v>
      </c>
      <c r="K10" s="2">
        <f t="shared" si="7"/>
        <v>2042621</v>
      </c>
      <c r="L10" s="2">
        <v>2042621</v>
      </c>
      <c r="N10" s="2">
        <v>97768</v>
      </c>
      <c r="O10" s="2">
        <f t="shared" si="12"/>
        <v>7959677</v>
      </c>
      <c r="P10" s="4">
        <v>152.5</v>
      </c>
      <c r="S10" s="3">
        <f t="shared" si="1"/>
        <v>411.03875797423956</v>
      </c>
      <c r="T10" s="1">
        <f t="shared" si="2"/>
        <v>56.100000000000009</v>
      </c>
      <c r="U10" s="1">
        <f t="shared" si="8"/>
        <v>33.5</v>
      </c>
      <c r="V10" s="1" t="str">
        <f t="shared" si="3"/>
        <v/>
      </c>
      <c r="W10" s="1" t="str">
        <f t="shared" si="4"/>
        <v/>
      </c>
      <c r="X10" s="1">
        <f t="shared" si="9"/>
        <v>33.5</v>
      </c>
      <c r="Y10" s="4">
        <f t="shared" si="10"/>
        <v>45.757003374953129</v>
      </c>
    </row>
    <row r="11" spans="1:25" x14ac:dyDescent="0.25">
      <c r="A11" s="1" t="s">
        <v>28</v>
      </c>
      <c r="B11" s="1">
        <v>10</v>
      </c>
      <c r="C11" s="1" t="s">
        <v>7</v>
      </c>
      <c r="D11" s="2">
        <v>7078432</v>
      </c>
      <c r="E11" s="2">
        <v>6093834</v>
      </c>
      <c r="F11" s="2">
        <v>4380820</v>
      </c>
      <c r="G11" s="1">
        <v>30</v>
      </c>
      <c r="H11" s="2">
        <f t="shared" si="11"/>
        <v>1828150.2</v>
      </c>
      <c r="I11" s="2">
        <f t="shared" si="6"/>
        <v>1828150.2</v>
      </c>
      <c r="K11" s="2">
        <f t="shared" si="7"/>
        <v>2686232</v>
      </c>
      <c r="L11" s="2">
        <v>2686232</v>
      </c>
      <c r="N11" s="2">
        <v>126812</v>
      </c>
      <c r="O11" s="2">
        <f t="shared" si="12"/>
        <v>7959677</v>
      </c>
      <c r="P11" s="4">
        <v>146.9</v>
      </c>
      <c r="S11" s="3">
        <f t="shared" si="1"/>
        <v>71.889388519608517</v>
      </c>
      <c r="T11" s="1">
        <f t="shared" si="2"/>
        <v>76.599999999999994</v>
      </c>
      <c r="U11" s="1" t="str">
        <f t="shared" si="8"/>
        <v/>
      </c>
      <c r="V11" s="1" t="str">
        <f t="shared" si="3"/>
        <v/>
      </c>
      <c r="W11" s="1">
        <f t="shared" si="4"/>
        <v>20.639999999999997</v>
      </c>
      <c r="X11" s="1">
        <f t="shared" si="9"/>
        <v>20.639999999999997</v>
      </c>
      <c r="Y11" s="4">
        <f t="shared" si="10"/>
        <v>44.081148255761484</v>
      </c>
    </row>
    <row r="12" spans="1:25" x14ac:dyDescent="0.25">
      <c r="A12" s="1" t="s">
        <v>28</v>
      </c>
      <c r="B12" s="1">
        <v>11</v>
      </c>
      <c r="C12" s="1" t="s">
        <v>8</v>
      </c>
      <c r="D12" s="2">
        <v>6945988</v>
      </c>
      <c r="E12" s="2">
        <v>4151123</v>
      </c>
      <c r="F12" s="2">
        <v>444971</v>
      </c>
      <c r="G12" s="1">
        <v>30</v>
      </c>
      <c r="H12" s="2">
        <f t="shared" si="11"/>
        <v>1245336.8999999999</v>
      </c>
      <c r="I12" s="2">
        <f t="shared" si="6"/>
        <v>1245336.8999999999</v>
      </c>
      <c r="K12" s="2">
        <f t="shared" si="7"/>
        <v>1423881</v>
      </c>
      <c r="L12" s="2">
        <v>1423881</v>
      </c>
      <c r="N12" s="2">
        <v>112441</v>
      </c>
      <c r="O12" s="2">
        <f t="shared" si="12"/>
        <v>7959677</v>
      </c>
      <c r="P12" s="4">
        <v>114.3</v>
      </c>
      <c r="S12" s="3">
        <f t="shared" si="1"/>
        <v>10.719292104811155</v>
      </c>
      <c r="T12" s="1">
        <f t="shared" si="2"/>
        <v>52.2</v>
      </c>
      <c r="U12" s="1" t="str">
        <f t="shared" si="8"/>
        <v/>
      </c>
      <c r="V12" s="1" t="str">
        <f t="shared" si="3"/>
        <v/>
      </c>
      <c r="W12" s="1">
        <f t="shared" si="4"/>
        <v>10.88</v>
      </c>
      <c r="X12" s="1">
        <f t="shared" si="9"/>
        <v>10.88</v>
      </c>
      <c r="Y12" s="4">
        <f t="shared" si="10"/>
        <v>34.301103580886426</v>
      </c>
    </row>
    <row r="13" spans="1:25" x14ac:dyDescent="0.25">
      <c r="A13" s="1" t="s">
        <v>28</v>
      </c>
      <c r="B13" s="1">
        <v>12</v>
      </c>
      <c r="C13" s="1" t="s">
        <v>9</v>
      </c>
      <c r="D13" s="2">
        <v>6945988</v>
      </c>
      <c r="E13" s="2">
        <v>3509940</v>
      </c>
      <c r="F13" s="2">
        <v>5894291</v>
      </c>
      <c r="G13" s="1">
        <v>30</v>
      </c>
      <c r="H13" s="2">
        <f t="shared" si="11"/>
        <v>1052982</v>
      </c>
      <c r="I13" s="2">
        <f t="shared" si="6"/>
        <v>1052982</v>
      </c>
      <c r="K13" s="2">
        <f t="shared" si="7"/>
        <v>1389027</v>
      </c>
      <c r="L13" s="2">
        <v>1389027</v>
      </c>
      <c r="N13" s="2">
        <v>94845</v>
      </c>
      <c r="O13" s="2">
        <f t="shared" si="12"/>
        <v>7959677</v>
      </c>
      <c r="P13" s="4">
        <v>131.9</v>
      </c>
      <c r="S13" s="3">
        <f t="shared" si="1"/>
        <v>167.9313891405551</v>
      </c>
      <c r="T13" s="1">
        <f t="shared" si="2"/>
        <v>44.1</v>
      </c>
      <c r="U13" s="1">
        <f t="shared" si="8"/>
        <v>30.9</v>
      </c>
      <c r="V13" s="1" t="str">
        <f t="shared" si="3"/>
        <v/>
      </c>
      <c r="W13" s="1" t="str">
        <f t="shared" si="4"/>
        <v/>
      </c>
      <c r="X13" s="1">
        <f t="shared" si="9"/>
        <v>30.9</v>
      </c>
      <c r="Y13" s="4">
        <f t="shared" si="10"/>
        <v>39.574095283680059</v>
      </c>
    </row>
    <row r="14" spans="1:25" x14ac:dyDescent="0.25">
      <c r="A14" s="1" t="s">
        <v>28</v>
      </c>
      <c r="B14" s="1">
        <v>13</v>
      </c>
      <c r="C14" s="1" t="s">
        <v>10</v>
      </c>
      <c r="D14" s="2">
        <v>6945988</v>
      </c>
      <c r="E14" s="2">
        <v>5611837</v>
      </c>
      <c r="F14" s="2">
        <v>3582973</v>
      </c>
      <c r="G14" s="1">
        <v>30</v>
      </c>
      <c r="H14" s="2">
        <f t="shared" si="11"/>
        <v>1683551.1</v>
      </c>
      <c r="I14" s="2">
        <f t="shared" si="6"/>
        <v>1683551.1</v>
      </c>
      <c r="K14" s="2">
        <f>L14+M14</f>
        <v>1774864</v>
      </c>
      <c r="L14" s="2">
        <v>1774864</v>
      </c>
      <c r="N14" s="2">
        <v>105817</v>
      </c>
      <c r="O14" s="2">
        <f t="shared" si="12"/>
        <v>7959677</v>
      </c>
      <c r="P14" s="4">
        <v>105.4</v>
      </c>
      <c r="S14" s="3">
        <f t="shared" si="1"/>
        <v>63.846704742137014</v>
      </c>
      <c r="T14" s="1">
        <f t="shared" si="2"/>
        <v>70.5</v>
      </c>
      <c r="U14" s="1" t="str">
        <f t="shared" si="8"/>
        <v/>
      </c>
      <c r="V14" s="1" t="str">
        <f t="shared" si="3"/>
        <v/>
      </c>
      <c r="W14" s="1">
        <f t="shared" si="4"/>
        <v>18.2</v>
      </c>
      <c r="X14" s="1">
        <f t="shared" si="9"/>
        <v>18.2</v>
      </c>
      <c r="Y14" s="4">
        <f t="shared" si="10"/>
        <v>31.627148115670501</v>
      </c>
    </row>
    <row r="15" spans="1:25" x14ac:dyDescent="0.25">
      <c r="A15" s="1" t="s">
        <v>28</v>
      </c>
      <c r="B15" s="1">
        <v>14</v>
      </c>
      <c r="C15" s="1" t="s">
        <v>11</v>
      </c>
      <c r="D15" s="2">
        <v>6945988</v>
      </c>
      <c r="E15" s="2">
        <v>4254159</v>
      </c>
      <c r="F15" s="2">
        <v>13652853</v>
      </c>
      <c r="G15" s="1">
        <v>30</v>
      </c>
      <c r="H15" s="2">
        <f t="shared" si="11"/>
        <v>1276247.7</v>
      </c>
      <c r="I15" s="2">
        <f t="shared" si="6"/>
        <v>1276247.7</v>
      </c>
      <c r="K15" s="2">
        <f t="shared" si="7"/>
        <v>1459610</v>
      </c>
      <c r="L15" s="2">
        <v>1459610</v>
      </c>
      <c r="N15" s="2">
        <v>87417</v>
      </c>
      <c r="O15" s="2">
        <f t="shared" si="12"/>
        <v>7959677</v>
      </c>
      <c r="P15" s="4">
        <v>114.39999999999999</v>
      </c>
      <c r="S15" s="3">
        <f t="shared" si="1"/>
        <v>320.92954212571743</v>
      </c>
      <c r="T15" s="1">
        <f t="shared" si="2"/>
        <v>53.400000000000006</v>
      </c>
      <c r="U15" s="1">
        <f t="shared" si="8"/>
        <v>32.9</v>
      </c>
      <c r="V15" s="1" t="str">
        <f t="shared" si="3"/>
        <v/>
      </c>
      <c r="W15" s="1" t="str">
        <f t="shared" si="4"/>
        <v/>
      </c>
      <c r="X15" s="1">
        <f t="shared" si="9"/>
        <v>32.9</v>
      </c>
      <c r="Y15" s="4">
        <f t="shared" si="10"/>
        <v>34.310189158421203</v>
      </c>
    </row>
    <row r="16" spans="1:25" x14ac:dyDescent="0.25">
      <c r="A16" s="1" t="s">
        <v>28</v>
      </c>
      <c r="B16" s="1">
        <v>15</v>
      </c>
      <c r="C16" s="1" t="s">
        <v>12</v>
      </c>
      <c r="D16" s="2">
        <v>7143189</v>
      </c>
      <c r="E16" s="2">
        <v>3648805</v>
      </c>
      <c r="F16" s="2">
        <v>2781402</v>
      </c>
      <c r="G16" s="1">
        <v>30</v>
      </c>
      <c r="H16" s="2">
        <f t="shared" si="11"/>
        <v>1094641.5</v>
      </c>
      <c r="I16" s="2">
        <f t="shared" si="6"/>
        <v>1094641.5</v>
      </c>
      <c r="K16" s="2">
        <f t="shared" si="7"/>
        <v>1425685</v>
      </c>
      <c r="L16" s="2">
        <v>1425685</v>
      </c>
      <c r="N16" s="2">
        <v>82847</v>
      </c>
      <c r="O16" s="2">
        <f t="shared" si="12"/>
        <v>7959677</v>
      </c>
      <c r="P16" s="4">
        <v>130.20000000000002</v>
      </c>
      <c r="S16" s="3">
        <f t="shared" si="1"/>
        <v>76.227751277473033</v>
      </c>
      <c r="T16" s="1">
        <f t="shared" si="2"/>
        <v>45.800000000000004</v>
      </c>
      <c r="U16" s="1" t="str">
        <f t="shared" si="8"/>
        <v/>
      </c>
      <c r="V16" s="1" t="str">
        <f t="shared" si="3"/>
        <v/>
      </c>
      <c r="W16" s="1">
        <f t="shared" si="4"/>
        <v>8.3200000000000021</v>
      </c>
      <c r="X16" s="1">
        <f t="shared" si="9"/>
        <v>8.3200000000000021</v>
      </c>
      <c r="Y16" s="4">
        <f t="shared" si="10"/>
        <v>39.072655293993513</v>
      </c>
    </row>
    <row r="17" spans="1:25" x14ac:dyDescent="0.25">
      <c r="A17" s="1" t="s">
        <v>28</v>
      </c>
      <c r="B17" s="1">
        <v>16</v>
      </c>
      <c r="C17" s="1" t="s">
        <v>13</v>
      </c>
      <c r="D17" s="2">
        <v>7143189</v>
      </c>
      <c r="E17" s="2">
        <v>5356383</v>
      </c>
      <c r="F17" s="2">
        <v>14450287</v>
      </c>
      <c r="G17" s="1">
        <v>34.5</v>
      </c>
      <c r="H17" s="2">
        <f t="shared" si="11"/>
        <v>1847952.135</v>
      </c>
      <c r="I17" s="2">
        <f t="shared" si="6"/>
        <v>1847952.135</v>
      </c>
      <c r="K17" s="2">
        <f t="shared" si="7"/>
        <v>2382398</v>
      </c>
      <c r="L17" s="2">
        <v>2382398</v>
      </c>
      <c r="N17" s="2">
        <v>165238</v>
      </c>
      <c r="O17" s="2">
        <f t="shared" si="12"/>
        <v>7959677</v>
      </c>
      <c r="P17" s="4">
        <v>127.1</v>
      </c>
      <c r="S17" s="3">
        <f t="shared" si="1"/>
        <v>269.77695583008159</v>
      </c>
      <c r="T17" s="1">
        <f t="shared" si="2"/>
        <v>67.300000000000011</v>
      </c>
      <c r="U17" s="1">
        <f t="shared" si="8"/>
        <v>35.9</v>
      </c>
      <c r="V17" s="1" t="str">
        <f t="shared" si="3"/>
        <v/>
      </c>
      <c r="W17" s="1" t="str">
        <f t="shared" si="4"/>
        <v/>
      </c>
      <c r="X17" s="1">
        <f t="shared" si="9"/>
        <v>35.9</v>
      </c>
      <c r="Y17" s="4">
        <f t="shared" si="10"/>
        <v>44.477738055699156</v>
      </c>
    </row>
    <row r="18" spans="1:25" x14ac:dyDescent="0.25">
      <c r="A18" s="1" t="s">
        <v>28</v>
      </c>
      <c r="B18" s="1">
        <v>17</v>
      </c>
      <c r="C18" s="1" t="s">
        <v>14</v>
      </c>
      <c r="D18" s="2">
        <v>7143189</v>
      </c>
      <c r="E18" s="2">
        <v>7387752</v>
      </c>
      <c r="F18" s="2">
        <v>814599</v>
      </c>
      <c r="G18" s="1">
        <v>39</v>
      </c>
      <c r="H18" s="2">
        <f t="shared" si="11"/>
        <v>2881223.28</v>
      </c>
      <c r="I18" s="2">
        <f t="shared" si="6"/>
        <v>2881223.28</v>
      </c>
      <c r="K18" s="2">
        <f t="shared" si="7"/>
        <v>2423612</v>
      </c>
      <c r="L18" s="2">
        <v>2423612</v>
      </c>
      <c r="N18" s="2">
        <v>181240.35990233545</v>
      </c>
      <c r="O18" s="2">
        <f t="shared" si="12"/>
        <v>7959677</v>
      </c>
      <c r="P18" s="4">
        <v>84.1</v>
      </c>
      <c r="S18" s="3">
        <f t="shared" si="1"/>
        <v>11.026344685095006</v>
      </c>
      <c r="T18" s="1">
        <f t="shared" si="2"/>
        <v>92.800000000000011</v>
      </c>
      <c r="U18" s="1" t="str">
        <f t="shared" si="8"/>
        <v/>
      </c>
      <c r="V18" s="1" t="str">
        <f t="shared" si="3"/>
        <v/>
      </c>
      <c r="W18" s="1">
        <f t="shared" si="4"/>
        <v>27.120000000000005</v>
      </c>
      <c r="X18" s="1">
        <f t="shared" si="9"/>
        <v>27.120000000000005</v>
      </c>
      <c r="Y18" s="4">
        <f t="shared" si="10"/>
        <v>32.805811564871156</v>
      </c>
    </row>
    <row r="19" spans="1:25" x14ac:dyDescent="0.25">
      <c r="A19" s="1" t="s">
        <v>28</v>
      </c>
      <c r="B19" s="1">
        <v>18</v>
      </c>
      <c r="C19" s="1" t="s">
        <v>15</v>
      </c>
      <c r="D19" s="2">
        <v>7143189</v>
      </c>
      <c r="E19" s="2">
        <v>9694093</v>
      </c>
      <c r="F19" s="2">
        <v>25633364</v>
      </c>
      <c r="G19" s="1">
        <v>40</v>
      </c>
      <c r="H19" s="2">
        <f t="shared" si="11"/>
        <v>3877637.2</v>
      </c>
      <c r="I19" s="2">
        <f t="shared" si="6"/>
        <v>3877637.2</v>
      </c>
      <c r="K19" s="2">
        <f t="shared" si="7"/>
        <v>2399845</v>
      </c>
      <c r="L19" s="2">
        <v>2399845</v>
      </c>
      <c r="N19" s="2">
        <v>162558</v>
      </c>
      <c r="O19" s="2">
        <f t="shared" si="12"/>
        <v>7959677</v>
      </c>
      <c r="P19" s="4">
        <v>61.9</v>
      </c>
      <c r="S19" s="3">
        <f t="shared" si="1"/>
        <v>264.42250966645361</v>
      </c>
      <c r="T19" s="1">
        <f t="shared" si="2"/>
        <v>121.8</v>
      </c>
      <c r="U19" s="1">
        <f t="shared" si="8"/>
        <v>47.7</v>
      </c>
      <c r="V19" s="1" t="str">
        <f t="shared" si="3"/>
        <v/>
      </c>
      <c r="W19" s="1" t="str">
        <f t="shared" si="4"/>
        <v/>
      </c>
      <c r="X19" s="1">
        <f t="shared" si="9"/>
        <v>40</v>
      </c>
      <c r="Y19" s="4">
        <f t="shared" si="10"/>
        <v>24.755745586513353</v>
      </c>
    </row>
    <row r="20" spans="1:25" x14ac:dyDescent="0.25">
      <c r="A20" s="1" t="s">
        <v>28</v>
      </c>
      <c r="B20" s="1">
        <v>19</v>
      </c>
      <c r="C20" s="1" t="s">
        <v>16</v>
      </c>
      <c r="D20" s="2">
        <v>7143189</v>
      </c>
      <c r="E20" s="2">
        <v>11924512</v>
      </c>
      <c r="F20" s="2">
        <v>22329350</v>
      </c>
      <c r="G20" s="1">
        <v>40</v>
      </c>
      <c r="H20" s="2">
        <f t="shared" si="11"/>
        <v>4769804.8</v>
      </c>
      <c r="I20" s="2">
        <f t="shared" si="6"/>
        <v>4769804.8</v>
      </c>
      <c r="K20" s="2">
        <f t="shared" si="7"/>
        <v>2689735</v>
      </c>
      <c r="L20" s="2">
        <v>2689735</v>
      </c>
      <c r="N20" s="2">
        <v>187261</v>
      </c>
      <c r="O20" s="2">
        <f t="shared" si="12"/>
        <v>7959677</v>
      </c>
      <c r="P20" s="4">
        <v>56.399999999999991</v>
      </c>
      <c r="S20" s="3">
        <f t="shared" si="1"/>
        <v>187.25588099538163</v>
      </c>
      <c r="T20" s="1">
        <f t="shared" si="2"/>
        <v>149.80000000000001</v>
      </c>
      <c r="U20" s="1">
        <f t="shared" si="8"/>
        <v>53.8</v>
      </c>
      <c r="V20" s="1" t="str">
        <f t="shared" si="3"/>
        <v/>
      </c>
      <c r="W20" s="1" t="str">
        <f t="shared" si="4"/>
        <v/>
      </c>
      <c r="X20" s="1">
        <f t="shared" si="9"/>
        <v>40</v>
      </c>
      <c r="Y20" s="4">
        <f t="shared" si="10"/>
        <v>22.556352830203867</v>
      </c>
    </row>
    <row r="21" spans="1:25" x14ac:dyDescent="0.25">
      <c r="A21" s="1" t="s">
        <v>28</v>
      </c>
      <c r="B21" s="1">
        <v>20</v>
      </c>
      <c r="C21" s="1" t="s">
        <v>17</v>
      </c>
      <c r="D21" s="2">
        <v>7143189</v>
      </c>
      <c r="E21" s="2">
        <v>12239058.999644667</v>
      </c>
      <c r="F21" s="2">
        <v>6099129.5918039568</v>
      </c>
      <c r="G21" s="1">
        <v>40</v>
      </c>
      <c r="H21" s="2">
        <f t="shared" si="11"/>
        <v>4895623.5998578668</v>
      </c>
      <c r="I21" s="2">
        <f t="shared" si="6"/>
        <v>4895623.5998578668</v>
      </c>
      <c r="K21" s="2">
        <f t="shared" si="7"/>
        <v>1601767</v>
      </c>
      <c r="L21" s="2">
        <v>1601767</v>
      </c>
      <c r="N21" s="2">
        <v>149056.57282954716</v>
      </c>
      <c r="O21" s="2">
        <f t="shared" si="12"/>
        <v>7959677</v>
      </c>
      <c r="P21" s="4">
        <v>32.700000000000003</v>
      </c>
      <c r="S21" s="3">
        <f t="shared" si="1"/>
        <v>49.833321270704154</v>
      </c>
      <c r="T21" s="1">
        <f t="shared" si="2"/>
        <v>153.80000000000001</v>
      </c>
      <c r="U21" s="1" t="str">
        <f t="shared" si="8"/>
        <v/>
      </c>
      <c r="V21" s="1" t="str">
        <f t="shared" si="3"/>
        <v/>
      </c>
      <c r="W21" s="1">
        <f t="shared" si="4"/>
        <v>51.52</v>
      </c>
      <c r="X21" s="1">
        <f t="shared" si="9"/>
        <v>40</v>
      </c>
      <c r="Y21" s="4">
        <f t="shared" si="10"/>
        <v>13.087337842284311</v>
      </c>
    </row>
    <row r="22" spans="1:25" x14ac:dyDescent="0.25">
      <c r="A22" s="1" t="s">
        <v>28</v>
      </c>
      <c r="B22" s="1">
        <v>21</v>
      </c>
      <c r="C22" s="1" t="s">
        <v>18</v>
      </c>
      <c r="D22" s="2">
        <v>7143189</v>
      </c>
      <c r="E22" s="2">
        <v>3062033.4112805305</v>
      </c>
      <c r="F22" s="2">
        <v>191525.54363086645</v>
      </c>
      <c r="G22" s="1">
        <v>28.5</v>
      </c>
      <c r="H22" s="2">
        <f t="shared" si="11"/>
        <v>872679.52221495123</v>
      </c>
      <c r="I22" s="2">
        <f t="shared" si="6"/>
        <v>872679.52221495123</v>
      </c>
      <c r="K22" s="2">
        <f t="shared" si="7"/>
        <v>839747</v>
      </c>
      <c r="L22" s="2">
        <v>839747</v>
      </c>
      <c r="N22" s="2">
        <v>94213.344190133212</v>
      </c>
      <c r="O22" s="2">
        <f t="shared" si="12"/>
        <v>7959677</v>
      </c>
      <c r="P22" s="4">
        <v>96.2</v>
      </c>
      <c r="S22" s="3">
        <f t="shared" si="1"/>
        <v>6.2548482627683422</v>
      </c>
      <c r="T22" s="1">
        <f t="shared" si="2"/>
        <v>38.5</v>
      </c>
      <c r="U22" s="1" t="str">
        <f t="shared" si="8"/>
        <v/>
      </c>
      <c r="V22" s="1" t="str">
        <f t="shared" si="3"/>
        <v/>
      </c>
      <c r="W22" s="1">
        <f t="shared" si="4"/>
        <v>5.4</v>
      </c>
      <c r="X22" s="1">
        <f t="shared" si="9"/>
        <v>5.4</v>
      </c>
      <c r="Y22" s="4">
        <f t="shared" si="10"/>
        <v>27.424488475742042</v>
      </c>
    </row>
    <row r="23" spans="1:25" x14ac:dyDescent="0.25">
      <c r="A23" s="1" t="s">
        <v>28</v>
      </c>
      <c r="B23" s="1">
        <v>22</v>
      </c>
      <c r="C23" s="1" t="s">
        <v>19</v>
      </c>
      <c r="D23" s="2">
        <v>7143189</v>
      </c>
      <c r="E23" s="2">
        <v>2084734.1189097008</v>
      </c>
      <c r="F23" s="2">
        <v>9947737.26284994</v>
      </c>
      <c r="G23" s="1">
        <v>16</v>
      </c>
      <c r="H23" s="2">
        <f t="shared" si="11"/>
        <v>333557.45902555215</v>
      </c>
      <c r="I23" s="2">
        <f t="shared" si="6"/>
        <v>333557.45902555215</v>
      </c>
      <c r="K23" s="2">
        <f t="shared" si="7"/>
        <v>645290</v>
      </c>
      <c r="L23" s="2">
        <v>645290</v>
      </c>
      <c r="N23" s="2">
        <v>43895.803564814079</v>
      </c>
      <c r="O23" s="2">
        <f t="shared" si="12"/>
        <v>7959677</v>
      </c>
      <c r="P23" s="4">
        <v>193.5</v>
      </c>
      <c r="S23" s="3">
        <f t="shared" si="1"/>
        <v>477.1705500772697</v>
      </c>
      <c r="T23" s="1">
        <f t="shared" si="2"/>
        <v>26.200000000000003</v>
      </c>
      <c r="U23" s="1" t="str">
        <f t="shared" si="8"/>
        <v/>
      </c>
      <c r="V23" s="1">
        <f t="shared" si="3"/>
        <v>16.2</v>
      </c>
      <c r="W23" s="1" t="str">
        <f t="shared" si="4"/>
        <v/>
      </c>
      <c r="X23" s="1">
        <f t="shared" si="9"/>
        <v>16.2</v>
      </c>
      <c r="Y23" s="4">
        <f t="shared" si="10"/>
        <v>30.953107839837219</v>
      </c>
    </row>
    <row r="24" spans="1:25" x14ac:dyDescent="0.25">
      <c r="A24" s="1" t="s">
        <v>28</v>
      </c>
      <c r="B24" s="1">
        <v>23</v>
      </c>
      <c r="C24" s="1" t="s">
        <v>20</v>
      </c>
      <c r="D24" s="2">
        <v>7143189</v>
      </c>
      <c r="E24" s="2">
        <v>13013667</v>
      </c>
      <c r="F24" s="2">
        <v>25598579</v>
      </c>
      <c r="G24" s="1">
        <v>40</v>
      </c>
      <c r="H24" s="2">
        <f t="shared" si="11"/>
        <v>5205466.8</v>
      </c>
      <c r="I24" s="2">
        <f t="shared" si="6"/>
        <v>5205466.8</v>
      </c>
      <c r="K24" s="2">
        <f t="shared" si="7"/>
        <v>1644196</v>
      </c>
      <c r="L24" s="2">
        <v>1644196</v>
      </c>
      <c r="N24" s="2">
        <v>111122.46513549599</v>
      </c>
      <c r="O24" s="2">
        <f t="shared" si="12"/>
        <v>7959677</v>
      </c>
      <c r="P24" s="4">
        <v>31.6</v>
      </c>
      <c r="S24" s="3">
        <f t="shared" si="1"/>
        <v>196.70534830805184</v>
      </c>
      <c r="T24" s="1">
        <f t="shared" si="2"/>
        <v>163.5</v>
      </c>
      <c r="U24" s="1">
        <f t="shared" si="8"/>
        <v>56.8</v>
      </c>
      <c r="V24" s="1" t="str">
        <f t="shared" si="3"/>
        <v/>
      </c>
      <c r="W24" s="1" t="str">
        <f t="shared" si="4"/>
        <v/>
      </c>
      <c r="X24" s="1">
        <f t="shared" si="9"/>
        <v>40</v>
      </c>
      <c r="Y24" s="4">
        <f t="shared" si="10"/>
        <v>12.634378918716763</v>
      </c>
    </row>
    <row r="25" spans="1:25" x14ac:dyDescent="0.25">
      <c r="A25" s="1" t="s">
        <v>28</v>
      </c>
      <c r="B25" s="1">
        <v>24</v>
      </c>
      <c r="C25" s="1" t="s">
        <v>21</v>
      </c>
      <c r="D25" s="2">
        <v>7143189</v>
      </c>
      <c r="E25" s="2">
        <v>24791967.53302395</v>
      </c>
      <c r="F25" s="2">
        <v>34470221.289178908</v>
      </c>
      <c r="G25" s="1">
        <v>40</v>
      </c>
      <c r="H25" s="2">
        <f t="shared" si="11"/>
        <v>9916787.0132095795</v>
      </c>
      <c r="I25" s="2">
        <f t="shared" si="6"/>
        <v>9916787.0132095795</v>
      </c>
      <c r="K25" s="2">
        <f t="shared" si="7"/>
        <v>520200</v>
      </c>
      <c r="L25" s="2">
        <v>520200</v>
      </c>
      <c r="N25" s="2">
        <v>32019.864119681552</v>
      </c>
      <c r="O25" s="2">
        <f t="shared" si="12"/>
        <v>7959677</v>
      </c>
      <c r="P25" s="4">
        <v>5.2</v>
      </c>
      <c r="S25" s="3">
        <f t="shared" si="1"/>
        <v>139.03786072349084</v>
      </c>
      <c r="T25" s="1">
        <f t="shared" si="2"/>
        <v>311.5</v>
      </c>
      <c r="U25" s="1">
        <f t="shared" si="8"/>
        <v>88.8</v>
      </c>
      <c r="V25" s="1" t="str">
        <f t="shared" si="3"/>
        <v/>
      </c>
      <c r="W25" s="1" t="str">
        <f t="shared" si="4"/>
        <v/>
      </c>
      <c r="X25" s="1">
        <f t="shared" si="9"/>
        <v>40</v>
      </c>
      <c r="Y25" s="4">
        <f t="shared" si="10"/>
        <v>2.0982602502486807</v>
      </c>
    </row>
    <row r="26" spans="1:25" x14ac:dyDescent="0.25">
      <c r="A26" s="1" t="s">
        <v>28</v>
      </c>
      <c r="B26" s="1">
        <v>25</v>
      </c>
      <c r="C26" s="1" t="s">
        <v>23</v>
      </c>
      <c r="D26" s="2">
        <v>7143189</v>
      </c>
      <c r="E26" s="2">
        <v>21648062.840846512</v>
      </c>
      <c r="F26" s="2">
        <v>21923271.313686881</v>
      </c>
      <c r="G26" s="1">
        <v>40</v>
      </c>
      <c r="H26" s="2">
        <f>E26*G26/100</f>
        <v>8659225.1363386046</v>
      </c>
      <c r="I26" s="2">
        <f t="shared" si="6"/>
        <v>8659225.1363386046</v>
      </c>
      <c r="K26" s="2">
        <f t="shared" si="7"/>
        <v>3337846</v>
      </c>
      <c r="L26" s="2">
        <v>3337846</v>
      </c>
      <c r="N26" s="2">
        <v>189383.68962063629</v>
      </c>
      <c r="O26" s="2">
        <f t="shared" si="12"/>
        <v>7959677</v>
      </c>
      <c r="P26" s="4">
        <v>38.5</v>
      </c>
      <c r="S26" s="3">
        <f t="shared" si="1"/>
        <v>101.27128452491876</v>
      </c>
      <c r="T26" s="1">
        <f t="shared" si="2"/>
        <v>272</v>
      </c>
      <c r="U26" s="1">
        <f>IF(AND(T26&gt;40,S26&gt;=100),ROUND(30+13*((T26-40)/(100-40)),1),"")</f>
        <v>80.3</v>
      </c>
      <c r="V26" s="1" t="str">
        <f t="shared" si="3"/>
        <v/>
      </c>
      <c r="W26" s="1" t="str">
        <f t="shared" si="4"/>
        <v/>
      </c>
      <c r="X26" s="1">
        <f>IF(SUM(U26:W26)&gt;40,40,SUM(U26:W26))</f>
        <v>40</v>
      </c>
      <c r="Y26" s="4">
        <f t="shared" si="10"/>
        <v>15.418682145092474</v>
      </c>
    </row>
    <row r="27" spans="1:25" x14ac:dyDescent="0.25">
      <c r="A27" s="1" t="s">
        <v>28</v>
      </c>
      <c r="B27" s="1">
        <v>26</v>
      </c>
      <c r="C27" s="1" t="s">
        <v>42</v>
      </c>
      <c r="D27" s="2">
        <v>7143189</v>
      </c>
      <c r="E27" s="2">
        <v>14663725</v>
      </c>
      <c r="F27" s="2">
        <v>796817</v>
      </c>
      <c r="G27" s="1">
        <v>40</v>
      </c>
      <c r="H27" s="2">
        <v>5865490</v>
      </c>
      <c r="I27" s="2">
        <f t="shared" si="6"/>
        <v>5865490</v>
      </c>
      <c r="K27" s="2">
        <f t="shared" si="7"/>
        <v>1656655</v>
      </c>
      <c r="L27" s="2">
        <v>1656655</v>
      </c>
      <c r="N27" s="2">
        <v>102567.55879925215</v>
      </c>
      <c r="O27" s="2">
        <f t="shared" si="12"/>
        <v>7959677</v>
      </c>
      <c r="P27" s="4">
        <v>28.199999999999996</v>
      </c>
      <c r="S27" s="3">
        <f t="shared" ref="S27:S29" si="13">F27/E27*100</f>
        <v>5.4339330558913232</v>
      </c>
      <c r="T27" s="1">
        <f t="shared" ref="T27:T29" si="14">ROUND(E27/O27,3)*100</f>
        <v>184.20000000000002</v>
      </c>
      <c r="U27" s="1" t="str">
        <f t="shared" ref="U27:U29" si="15">IF(AND(T27&gt;40,S27&gt;=100),ROUND(30+13*((T27-40)/(100-40)),1),"")</f>
        <v/>
      </c>
      <c r="V27" s="1" t="str">
        <f t="shared" ref="V27:V29" si="16">IF(AND(S27&gt;=100,T27&gt;=10,T27&lt;=40),ROUND(30*((T27-10)/(40-10)),1),"")</f>
        <v/>
      </c>
      <c r="W27" s="1">
        <f t="shared" ref="W27:W29" si="17">IF(AND(S27&lt;100,T27&gt;=25),(30*(T27-25)/(100-25)),"")</f>
        <v>63.680000000000014</v>
      </c>
      <c r="X27" s="1">
        <f>IF(SUM(U27:W27)&gt;40,40,SUM(U27:W27))</f>
        <v>40</v>
      </c>
      <c r="Y27" s="4">
        <f t="shared" si="10"/>
        <v>11.297640947303636</v>
      </c>
    </row>
    <row r="28" spans="1:25" x14ac:dyDescent="0.25">
      <c r="A28" s="1" t="s">
        <v>28</v>
      </c>
      <c r="B28" s="1">
        <v>27</v>
      </c>
      <c r="C28" s="1" t="s">
        <v>43</v>
      </c>
      <c r="D28" s="2">
        <v>7143189</v>
      </c>
      <c r="E28" s="2">
        <v>6000513</v>
      </c>
      <c r="F28" s="2">
        <v>20727248</v>
      </c>
      <c r="G28" s="1">
        <v>40</v>
      </c>
      <c r="H28" s="2">
        <v>2154184</v>
      </c>
      <c r="I28" s="2">
        <f t="shared" si="6"/>
        <v>2154184</v>
      </c>
      <c r="K28" s="2">
        <f t="shared" si="7"/>
        <v>1490909</v>
      </c>
      <c r="L28" s="2">
        <v>1490909</v>
      </c>
      <c r="N28" s="2">
        <v>114614</v>
      </c>
      <c r="O28" s="2">
        <f t="shared" si="12"/>
        <v>7959677</v>
      </c>
      <c r="P28" s="4">
        <v>69.199999999999989</v>
      </c>
      <c r="S28" s="3">
        <f t="shared" si="13"/>
        <v>345.42459953007352</v>
      </c>
      <c r="T28" s="1">
        <f t="shared" si="14"/>
        <v>75.400000000000006</v>
      </c>
      <c r="U28" s="1">
        <f t="shared" si="15"/>
        <v>37.700000000000003</v>
      </c>
      <c r="V28" s="1" t="str">
        <f t="shared" si="16"/>
        <v/>
      </c>
      <c r="W28" s="1" t="str">
        <f t="shared" si="17"/>
        <v/>
      </c>
      <c r="X28" s="1">
        <f t="shared" ref="X28:X29" si="18">IF(SUM(U28:W28)&gt;40,40,SUM(U28:W28))</f>
        <v>37.700000000000003</v>
      </c>
      <c r="Y28" s="4">
        <f t="shared" si="10"/>
        <v>24.846358969641429</v>
      </c>
    </row>
    <row r="29" spans="1:25" x14ac:dyDescent="0.25">
      <c r="A29" s="1" t="s">
        <v>28</v>
      </c>
      <c r="B29" s="1">
        <v>28</v>
      </c>
      <c r="C29" s="1" t="s">
        <v>44</v>
      </c>
      <c r="D29" s="2">
        <v>7143189</v>
      </c>
      <c r="E29" s="2">
        <v>5973718</v>
      </c>
      <c r="F29" s="2">
        <v>10145083</v>
      </c>
      <c r="G29" s="1">
        <v>40</v>
      </c>
      <c r="H29" s="2">
        <v>2138591</v>
      </c>
      <c r="I29" s="2">
        <f t="shared" si="6"/>
        <v>2138591</v>
      </c>
      <c r="K29" s="2">
        <f t="shared" si="7"/>
        <v>1225499.8742503026</v>
      </c>
      <c r="L29" s="2">
        <v>1225499.8742503026</v>
      </c>
      <c r="N29" s="2">
        <v>96152</v>
      </c>
      <c r="O29" s="2">
        <f t="shared" si="12"/>
        <v>7959677</v>
      </c>
      <c r="S29" s="3">
        <f t="shared" si="13"/>
        <v>169.82862264338559</v>
      </c>
      <c r="T29" s="1">
        <f t="shared" si="14"/>
        <v>75</v>
      </c>
      <c r="U29" s="1">
        <f t="shared" si="15"/>
        <v>37.6</v>
      </c>
      <c r="V29" s="1" t="str">
        <f t="shared" si="16"/>
        <v/>
      </c>
      <c r="W29" s="1" t="str">
        <f t="shared" si="17"/>
        <v/>
      </c>
      <c r="X29" s="1">
        <f t="shared" si="18"/>
        <v>37.6</v>
      </c>
      <c r="Y29" s="4">
        <f t="shared" si="10"/>
        <v>20.514859828507181</v>
      </c>
    </row>
    <row r="30" spans="1:25" x14ac:dyDescent="0.25">
      <c r="A30" s="1" t="s">
        <v>36</v>
      </c>
      <c r="B30" s="1">
        <v>1</v>
      </c>
      <c r="C30" s="1" t="s">
        <v>31</v>
      </c>
      <c r="D30" s="2">
        <v>3237537</v>
      </c>
      <c r="E30" s="2">
        <v>1180874</v>
      </c>
      <c r="F30" s="2">
        <v>3768905</v>
      </c>
      <c r="G30" s="1">
        <v>25.4</v>
      </c>
      <c r="H30" s="2">
        <v>299941.99599999998</v>
      </c>
      <c r="I30" s="2">
        <v>149970.99799999999</v>
      </c>
      <c r="J30" s="2">
        <v>149970.99799999999</v>
      </c>
      <c r="K30" s="2">
        <f t="shared" si="7"/>
        <v>406097</v>
      </c>
      <c r="L30" s="2">
        <v>256097</v>
      </c>
      <c r="M30" s="2">
        <v>150000</v>
      </c>
      <c r="N30" s="2">
        <v>9283</v>
      </c>
      <c r="O30" s="2">
        <v>7090319</v>
      </c>
      <c r="P30" s="4">
        <v>135.3918442284421</v>
      </c>
      <c r="Q30" s="4">
        <v>170.76435005120126</v>
      </c>
      <c r="R30" s="4">
        <v>100.01933840568296</v>
      </c>
      <c r="S30" s="3">
        <f>F30/E30*100</f>
        <v>319.16233230641035</v>
      </c>
      <c r="T30" s="1">
        <f>ROUND(E30/O30,3)*100</f>
        <v>16.7</v>
      </c>
      <c r="U30" s="1" t="str">
        <f>IF(AND(T30&gt;40,S30&gt;=100),ROUND(30+13*((T30-40)/(100-40)),1),"")</f>
        <v/>
      </c>
      <c r="V30" s="1">
        <f>IF(AND(S30&gt;=100,T30&gt;=10,T30&lt;=40),ROUND(30*((T30-10)/(40-10)),1),"")</f>
        <v>6.7</v>
      </c>
      <c r="W30" s="1" t="str">
        <f>IF(AND(S30&lt;100,T30&gt;=25),(30*(T30-25)/(100-25)),"")</f>
        <v/>
      </c>
      <c r="X30" s="1">
        <f>IF(SUM(U30:W30)&gt;40,40,SUM(U30:W30))</f>
        <v>6.7</v>
      </c>
      <c r="Y30" s="4">
        <f t="shared" si="10"/>
        <v>34.389528434024292</v>
      </c>
    </row>
    <row r="31" spans="1:25" x14ac:dyDescent="0.25">
      <c r="A31" s="1" t="s">
        <v>36</v>
      </c>
      <c r="B31" s="1">
        <v>2</v>
      </c>
      <c r="C31" s="1" t="s">
        <v>30</v>
      </c>
      <c r="D31" s="2">
        <v>3237537</v>
      </c>
      <c r="E31" s="2">
        <v>3013553</v>
      </c>
      <c r="F31" s="2">
        <v>1777219</v>
      </c>
      <c r="G31" s="1">
        <v>25.4</v>
      </c>
      <c r="H31" s="2">
        <v>765442.46200000006</v>
      </c>
      <c r="I31" s="2">
        <v>382721.23100000003</v>
      </c>
      <c r="J31" s="2">
        <v>382721.23100000003</v>
      </c>
      <c r="K31" s="2">
        <f t="shared" si="7"/>
        <v>0</v>
      </c>
      <c r="L31" s="2">
        <v>0</v>
      </c>
      <c r="M31" s="2">
        <v>0</v>
      </c>
      <c r="N31" s="2">
        <v>0</v>
      </c>
      <c r="O31" s="2">
        <v>7090319</v>
      </c>
      <c r="P31" s="4">
        <v>0</v>
      </c>
      <c r="Q31" s="4">
        <v>0</v>
      </c>
      <c r="R31" s="4">
        <v>0</v>
      </c>
      <c r="S31" s="3">
        <f t="shared" ref="S31:S54" si="19">F31/E31*100</f>
        <v>58.974207521818933</v>
      </c>
      <c r="T31" s="1">
        <f t="shared" ref="T31:T76" si="20">ROUND(E31/O31,3)*100</f>
        <v>42.5</v>
      </c>
      <c r="U31" s="1" t="str">
        <f>IF(AND(T31&gt;40,S31&gt;=100),ROUND(30+13*((T31-40)/(100-40)),1),"")</f>
        <v/>
      </c>
      <c r="V31" s="1" t="str">
        <f t="shared" si="3"/>
        <v/>
      </c>
      <c r="W31" s="1">
        <f t="shared" si="4"/>
        <v>7</v>
      </c>
      <c r="X31" s="1">
        <f>IF(SUM(U31:W31)&gt;40,40,SUM(U31:W31))</f>
        <v>7</v>
      </c>
      <c r="Y31" s="4">
        <f t="shared" si="10"/>
        <v>0</v>
      </c>
    </row>
    <row r="32" spans="1:25" x14ac:dyDescent="0.25">
      <c r="A32" s="1" t="s">
        <v>36</v>
      </c>
      <c r="B32" s="1">
        <v>3</v>
      </c>
      <c r="C32" s="1" t="s">
        <v>0</v>
      </c>
      <c r="D32" s="2">
        <v>3237537</v>
      </c>
      <c r="E32" s="2">
        <v>2954952</v>
      </c>
      <c r="F32" s="2">
        <v>2034445</v>
      </c>
      <c r="G32" s="1">
        <v>25.4</v>
      </c>
      <c r="H32" s="2">
        <v>750557.80799999996</v>
      </c>
      <c r="I32" s="2">
        <v>375278.90399999998</v>
      </c>
      <c r="J32" s="2">
        <v>375278.90399999998</v>
      </c>
      <c r="K32" s="2">
        <f t="shared" si="7"/>
        <v>774493</v>
      </c>
      <c r="L32" s="2">
        <v>405663</v>
      </c>
      <c r="M32" s="2">
        <v>368830</v>
      </c>
      <c r="N32" s="2">
        <v>28553</v>
      </c>
      <c r="O32" s="2">
        <v>7090319</v>
      </c>
      <c r="P32" s="4">
        <v>103.18898714327945</v>
      </c>
      <c r="Q32" s="4">
        <v>108.096403948142</v>
      </c>
      <c r="R32" s="4">
        <v>98.281570338416898</v>
      </c>
      <c r="S32" s="3">
        <f t="shared" si="19"/>
        <v>68.848664885250258</v>
      </c>
      <c r="T32" s="1">
        <f t="shared" si="20"/>
        <v>41.699999999999996</v>
      </c>
      <c r="U32" s="1" t="str">
        <f t="shared" si="8"/>
        <v/>
      </c>
      <c r="V32" s="1" t="str">
        <f t="shared" si="3"/>
        <v/>
      </c>
      <c r="W32" s="1">
        <f t="shared" si="4"/>
        <v>6.6799999999999988</v>
      </c>
      <c r="X32" s="1">
        <f t="shared" si="9"/>
        <v>6.6799999999999988</v>
      </c>
      <c r="Y32" s="4">
        <f t="shared" si="10"/>
        <v>26.21000273439298</v>
      </c>
    </row>
    <row r="33" spans="1:25" x14ac:dyDescent="0.25">
      <c r="A33" s="1" t="s">
        <v>36</v>
      </c>
      <c r="B33" s="1">
        <v>4</v>
      </c>
      <c r="C33" s="1" t="s">
        <v>1</v>
      </c>
      <c r="D33" s="2">
        <v>3325833</v>
      </c>
      <c r="E33" s="2">
        <v>3236440</v>
      </c>
      <c r="F33" s="2">
        <v>9540718</v>
      </c>
      <c r="G33" s="1">
        <v>25.4</v>
      </c>
      <c r="H33" s="2">
        <v>822055.76</v>
      </c>
      <c r="I33" s="2">
        <v>411027.88</v>
      </c>
      <c r="J33" s="2">
        <v>411027.88</v>
      </c>
      <c r="K33" s="2">
        <f t="shared" si="7"/>
        <v>824906</v>
      </c>
      <c r="L33" s="2">
        <v>459404</v>
      </c>
      <c r="M33" s="2">
        <v>365502</v>
      </c>
      <c r="N33" s="2">
        <v>28866</v>
      </c>
      <c r="O33" s="2">
        <v>7090319</v>
      </c>
      <c r="P33" s="4">
        <v>100.34672100588409</v>
      </c>
      <c r="Q33" s="4">
        <v>111.76954711685252</v>
      </c>
      <c r="R33" s="4">
        <v>88.923894894915648</v>
      </c>
      <c r="S33" s="3">
        <f t="shared" si="19"/>
        <v>294.79051056098677</v>
      </c>
      <c r="T33" s="1">
        <f t="shared" si="20"/>
        <v>45.6</v>
      </c>
      <c r="U33" s="1">
        <f t="shared" si="8"/>
        <v>31.2</v>
      </c>
      <c r="V33" s="1" t="str">
        <f t="shared" si="3"/>
        <v/>
      </c>
      <c r="W33" s="1" t="str">
        <f t="shared" si="4"/>
        <v/>
      </c>
      <c r="X33" s="1">
        <f t="shared" si="9"/>
        <v>31.2</v>
      </c>
      <c r="Y33" s="4">
        <f t="shared" si="10"/>
        <v>25.488067135494557</v>
      </c>
    </row>
    <row r="34" spans="1:25" x14ac:dyDescent="0.25">
      <c r="A34" s="1" t="s">
        <v>36</v>
      </c>
      <c r="B34" s="1">
        <v>5</v>
      </c>
      <c r="C34" s="1" t="s">
        <v>2</v>
      </c>
      <c r="D34" s="2">
        <v>3287571</v>
      </c>
      <c r="E34" s="2">
        <v>8122270</v>
      </c>
      <c r="F34" s="2">
        <v>17488883</v>
      </c>
      <c r="G34" s="1">
        <v>25.4</v>
      </c>
      <c r="H34" s="2">
        <v>2063056.58</v>
      </c>
      <c r="I34" s="2">
        <v>1364528.29</v>
      </c>
      <c r="J34" s="2">
        <v>698528.29</v>
      </c>
      <c r="K34" s="2">
        <f t="shared" si="7"/>
        <v>1955865</v>
      </c>
      <c r="L34" s="2">
        <v>1448440</v>
      </c>
      <c r="M34" s="2">
        <v>507425</v>
      </c>
      <c r="N34" s="2">
        <v>86727</v>
      </c>
      <c r="O34" s="2">
        <v>7090319</v>
      </c>
      <c r="P34" s="4">
        <v>94.804234598355038</v>
      </c>
      <c r="Q34" s="4">
        <v>106.14950313708775</v>
      </c>
      <c r="R34" s="4">
        <v>72.642011392265871</v>
      </c>
      <c r="S34" s="3">
        <f t="shared" si="19"/>
        <v>215.32013833571156</v>
      </c>
      <c r="T34" s="1">
        <f t="shared" si="20"/>
        <v>114.6</v>
      </c>
      <c r="U34" s="1">
        <f t="shared" si="8"/>
        <v>46.2</v>
      </c>
      <c r="V34" s="1" t="str">
        <f t="shared" si="3"/>
        <v/>
      </c>
      <c r="W34" s="1" t="str">
        <f t="shared" si="4"/>
        <v/>
      </c>
      <c r="X34" s="1">
        <f t="shared" si="9"/>
        <v>40</v>
      </c>
      <c r="Y34" s="4">
        <f t="shared" si="10"/>
        <v>24.080275587982179</v>
      </c>
    </row>
    <row r="35" spans="1:25" x14ac:dyDescent="0.25">
      <c r="A35" s="1" t="s">
        <v>36</v>
      </c>
      <c r="B35" s="1">
        <v>6</v>
      </c>
      <c r="C35" s="1" t="s">
        <v>3</v>
      </c>
      <c r="D35" s="2">
        <v>3287571</v>
      </c>
      <c r="E35" s="2">
        <v>7090319</v>
      </c>
      <c r="F35" s="2">
        <v>3282696</v>
      </c>
      <c r="G35" s="1">
        <v>25.4</v>
      </c>
      <c r="H35" s="2">
        <v>1800941.0260000001</v>
      </c>
      <c r="I35" s="2">
        <v>900470.51300000004</v>
      </c>
      <c r="J35" s="2">
        <v>900470.51300000004</v>
      </c>
      <c r="K35" s="2">
        <f t="shared" si="7"/>
        <v>169157</v>
      </c>
      <c r="L35" s="2">
        <v>0</v>
      </c>
      <c r="M35" s="2">
        <v>169157</v>
      </c>
      <c r="N35" s="2">
        <v>0</v>
      </c>
      <c r="O35" s="2">
        <v>7090319</v>
      </c>
      <c r="P35" s="4">
        <v>9.3927006802498152</v>
      </c>
      <c r="Q35" s="4">
        <v>0</v>
      </c>
      <c r="R35" s="4">
        <v>18.78540136049963</v>
      </c>
      <c r="S35" s="3">
        <f t="shared" si="19"/>
        <v>46.298283617422577</v>
      </c>
      <c r="T35" s="1">
        <f t="shared" si="20"/>
        <v>100</v>
      </c>
      <c r="U35" s="1" t="str">
        <f t="shared" si="8"/>
        <v/>
      </c>
      <c r="V35" s="1" t="str">
        <f t="shared" si="3"/>
        <v/>
      </c>
      <c r="W35" s="1">
        <f t="shared" si="4"/>
        <v>30</v>
      </c>
      <c r="X35" s="1">
        <f t="shared" si="9"/>
        <v>30</v>
      </c>
      <c r="Y35" s="4">
        <f t="shared" si="10"/>
        <v>2.3857459727834529</v>
      </c>
    </row>
    <row r="36" spans="1:25" x14ac:dyDescent="0.25">
      <c r="A36" s="1" t="s">
        <v>36</v>
      </c>
      <c r="B36" s="1">
        <v>7</v>
      </c>
      <c r="C36" s="1" t="s">
        <v>4</v>
      </c>
      <c r="D36" s="2">
        <v>3434732</v>
      </c>
      <c r="E36" s="2">
        <v>2841229</v>
      </c>
      <c r="F36" s="2">
        <v>11727251</v>
      </c>
      <c r="G36" s="1">
        <v>30</v>
      </c>
      <c r="H36" s="2">
        <v>852368.7</v>
      </c>
      <c r="I36" s="2">
        <v>426184.35</v>
      </c>
      <c r="J36" s="2">
        <v>426184.35</v>
      </c>
      <c r="K36" s="2">
        <f t="shared" si="7"/>
        <v>1005303</v>
      </c>
      <c r="L36" s="2">
        <v>585407</v>
      </c>
      <c r="M36" s="2">
        <v>419896</v>
      </c>
      <c r="N36" s="2">
        <v>36702</v>
      </c>
      <c r="O36" s="2">
        <v>7090319</v>
      </c>
      <c r="P36" s="4">
        <v>117.94227075677463</v>
      </c>
      <c r="Q36" s="4">
        <v>137.36004149378081</v>
      </c>
      <c r="R36" s="4">
        <v>98.524500019768453</v>
      </c>
      <c r="S36" s="3">
        <f t="shared" si="19"/>
        <v>412.75275593765934</v>
      </c>
      <c r="T36" s="1">
        <f t="shared" si="20"/>
        <v>40.1</v>
      </c>
      <c r="U36" s="1">
        <f t="shared" si="8"/>
        <v>30</v>
      </c>
      <c r="V36" s="1" t="str">
        <f t="shared" si="3"/>
        <v/>
      </c>
      <c r="W36" s="1" t="str">
        <f t="shared" si="4"/>
        <v/>
      </c>
      <c r="X36" s="1">
        <f t="shared" si="9"/>
        <v>30</v>
      </c>
      <c r="Y36" s="4">
        <f t="shared" si="10"/>
        <v>35.382681227032386</v>
      </c>
    </row>
    <row r="37" spans="1:25" x14ac:dyDescent="0.25">
      <c r="A37" s="1" t="s">
        <v>36</v>
      </c>
      <c r="B37" s="1">
        <v>8</v>
      </c>
      <c r="C37" s="1" t="s">
        <v>5</v>
      </c>
      <c r="D37" s="2">
        <v>3434732</v>
      </c>
      <c r="E37" s="2">
        <v>7105212</v>
      </c>
      <c r="F37" s="2">
        <v>8852948</v>
      </c>
      <c r="G37" s="1">
        <v>30</v>
      </c>
      <c r="H37" s="2">
        <v>2131563.6</v>
      </c>
      <c r="I37" s="2">
        <v>1245781.8</v>
      </c>
      <c r="J37" s="2">
        <v>885781.8</v>
      </c>
      <c r="K37" s="2">
        <f t="shared" si="7"/>
        <v>2481237</v>
      </c>
      <c r="L37" s="2">
        <v>1595312</v>
      </c>
      <c r="M37" s="2">
        <v>885925</v>
      </c>
      <c r="N37" s="2">
        <v>84121</v>
      </c>
      <c r="O37" s="2">
        <v>7090319</v>
      </c>
      <c r="P37" s="4">
        <v>116.40454922386552</v>
      </c>
      <c r="Q37" s="4">
        <v>128.05709635507597</v>
      </c>
      <c r="R37" s="4">
        <v>100.01616650963025</v>
      </c>
      <c r="S37" s="3">
        <f t="shared" si="19"/>
        <v>124.59794303111576</v>
      </c>
      <c r="T37" s="1">
        <f t="shared" si="20"/>
        <v>100.2</v>
      </c>
      <c r="U37" s="1">
        <f t="shared" si="8"/>
        <v>43</v>
      </c>
      <c r="V37" s="1" t="str">
        <f t="shared" si="3"/>
        <v/>
      </c>
      <c r="W37" s="1" t="str">
        <f t="shared" si="4"/>
        <v/>
      </c>
      <c r="X37" s="1">
        <f t="shared" si="9"/>
        <v>40</v>
      </c>
      <c r="Y37" s="4">
        <f t="shared" si="10"/>
        <v>34.921364767159659</v>
      </c>
    </row>
    <row r="38" spans="1:25" x14ac:dyDescent="0.25">
      <c r="A38" s="1" t="s">
        <v>36</v>
      </c>
      <c r="B38" s="1">
        <v>9</v>
      </c>
      <c r="C38" s="1" t="s">
        <v>6</v>
      </c>
      <c r="D38" s="2">
        <v>3434732</v>
      </c>
      <c r="E38" s="2">
        <v>4953508</v>
      </c>
      <c r="F38" s="2">
        <v>4799194</v>
      </c>
      <c r="G38" s="1">
        <v>30</v>
      </c>
      <c r="H38" s="2">
        <v>1486052.4</v>
      </c>
      <c r="I38" s="2">
        <v>743026.2</v>
      </c>
      <c r="J38" s="2">
        <v>743026.2</v>
      </c>
      <c r="K38" s="2">
        <f t="shared" si="7"/>
        <v>1769836</v>
      </c>
      <c r="L38" s="2">
        <v>1072273</v>
      </c>
      <c r="M38" s="2">
        <v>697563</v>
      </c>
      <c r="N38" s="2">
        <v>60618</v>
      </c>
      <c r="O38" s="2">
        <v>7090319</v>
      </c>
      <c r="P38" s="4">
        <v>119.09647331413078</v>
      </c>
      <c r="Q38" s="4">
        <v>144.31160031772771</v>
      </c>
      <c r="R38" s="4">
        <v>93.881346310533871</v>
      </c>
      <c r="S38" s="3">
        <f t="shared" si="19"/>
        <v>96.8847531890531</v>
      </c>
      <c r="T38" s="1">
        <f t="shared" si="20"/>
        <v>69.899999999999991</v>
      </c>
      <c r="U38" s="1" t="str">
        <f t="shared" si="8"/>
        <v/>
      </c>
      <c r="V38" s="1" t="str">
        <f t="shared" si="3"/>
        <v/>
      </c>
      <c r="W38" s="1">
        <f t="shared" si="4"/>
        <v>17.959999999999997</v>
      </c>
      <c r="X38" s="1">
        <f t="shared" si="9"/>
        <v>17.959999999999997</v>
      </c>
      <c r="Y38" s="4">
        <f t="shared" si="10"/>
        <v>35.728941994239236</v>
      </c>
    </row>
    <row r="39" spans="1:25" x14ac:dyDescent="0.25">
      <c r="A39" s="1" t="s">
        <v>36</v>
      </c>
      <c r="B39" s="1">
        <v>10</v>
      </c>
      <c r="C39" s="1" t="s">
        <v>7</v>
      </c>
      <c r="D39" s="2">
        <v>3434732</v>
      </c>
      <c r="E39" s="2">
        <v>2838707</v>
      </c>
      <c r="F39" s="2">
        <v>3146425</v>
      </c>
      <c r="G39" s="1">
        <v>30</v>
      </c>
      <c r="H39" s="2">
        <v>851612.1</v>
      </c>
      <c r="I39" s="2">
        <v>425806.05</v>
      </c>
      <c r="J39" s="2">
        <v>425806.05</v>
      </c>
      <c r="K39" s="2">
        <f t="shared" si="7"/>
        <v>998347</v>
      </c>
      <c r="L39" s="2">
        <v>604932</v>
      </c>
      <c r="M39" s="2">
        <v>393415</v>
      </c>
      <c r="N39" s="2">
        <v>31847</v>
      </c>
      <c r="O39" s="2">
        <v>7090319</v>
      </c>
      <c r="P39" s="4">
        <v>117.23025072095619</v>
      </c>
      <c r="Q39" s="4">
        <v>142.06749763184436</v>
      </c>
      <c r="R39" s="4">
        <v>92.393003810067981</v>
      </c>
      <c r="S39" s="3">
        <f t="shared" si="19"/>
        <v>110.84007613325362</v>
      </c>
      <c r="T39" s="1">
        <f t="shared" si="20"/>
        <v>40</v>
      </c>
      <c r="U39" s="1" t="str">
        <f t="shared" si="8"/>
        <v/>
      </c>
      <c r="V39" s="1">
        <f t="shared" si="3"/>
        <v>30</v>
      </c>
      <c r="W39" s="1" t="str">
        <f t="shared" si="4"/>
        <v/>
      </c>
      <c r="X39" s="1">
        <f t="shared" si="9"/>
        <v>30</v>
      </c>
      <c r="Y39" s="4">
        <f t="shared" si="10"/>
        <v>35.169075216286849</v>
      </c>
    </row>
    <row r="40" spans="1:25" x14ac:dyDescent="0.25">
      <c r="A40" s="1" t="s">
        <v>36</v>
      </c>
      <c r="B40" s="1">
        <v>11</v>
      </c>
      <c r="C40" s="1" t="s">
        <v>8</v>
      </c>
      <c r="D40" s="2">
        <v>3375868</v>
      </c>
      <c r="E40" s="2">
        <v>4751308</v>
      </c>
      <c r="F40" s="2">
        <v>6567921</v>
      </c>
      <c r="G40" s="1">
        <v>30</v>
      </c>
      <c r="H40" s="2">
        <v>1425392.4</v>
      </c>
      <c r="I40" s="2">
        <v>712696.2</v>
      </c>
      <c r="J40" s="2">
        <v>712696.2</v>
      </c>
      <c r="K40" s="2">
        <f t="shared" si="7"/>
        <v>1536464</v>
      </c>
      <c r="L40" s="2">
        <v>799047</v>
      </c>
      <c r="M40" s="2">
        <v>737417</v>
      </c>
      <c r="N40" s="2">
        <v>42376</v>
      </c>
      <c r="O40" s="2">
        <v>7090319</v>
      </c>
      <c r="P40" s="4">
        <v>107.79235247781594</v>
      </c>
      <c r="Q40" s="4">
        <v>112.11607414210994</v>
      </c>
      <c r="R40" s="4">
        <v>103.46863081352195</v>
      </c>
      <c r="S40" s="3">
        <f t="shared" si="19"/>
        <v>138.23395578649081</v>
      </c>
      <c r="T40" s="1">
        <f t="shared" si="20"/>
        <v>67</v>
      </c>
      <c r="U40" s="1">
        <f t="shared" si="8"/>
        <v>35.9</v>
      </c>
      <c r="V40" s="1" t="str">
        <f t="shared" si="3"/>
        <v/>
      </c>
      <c r="W40" s="1" t="str">
        <f t="shared" si="4"/>
        <v/>
      </c>
      <c r="X40" s="1">
        <f t="shared" si="9"/>
        <v>35.9</v>
      </c>
      <c r="Y40" s="4">
        <f t="shared" si="10"/>
        <v>32.337705743344777</v>
      </c>
    </row>
    <row r="41" spans="1:25" x14ac:dyDescent="0.25">
      <c r="A41" s="1" t="s">
        <v>36</v>
      </c>
      <c r="B41" s="1">
        <v>12</v>
      </c>
      <c r="C41" s="1" t="s">
        <v>9</v>
      </c>
      <c r="D41" s="2">
        <v>3375868</v>
      </c>
      <c r="E41" s="2">
        <v>6453563</v>
      </c>
      <c r="F41" s="2">
        <v>9953166</v>
      </c>
      <c r="G41" s="1">
        <v>30</v>
      </c>
      <c r="H41" s="2">
        <v>1936068.9</v>
      </c>
      <c r="I41" s="2">
        <v>968034.45</v>
      </c>
      <c r="J41" s="2">
        <v>968034.45</v>
      </c>
      <c r="K41" s="2">
        <f t="shared" si="7"/>
        <v>2036810</v>
      </c>
      <c r="L41" s="2">
        <v>1301998</v>
      </c>
      <c r="M41" s="2">
        <v>734812</v>
      </c>
      <c r="N41" s="2">
        <v>68384</v>
      </c>
      <c r="O41" s="2">
        <v>7090319</v>
      </c>
      <c r="P41" s="4">
        <v>105.20338403245877</v>
      </c>
      <c r="Q41" s="4">
        <v>134.49913895109827</v>
      </c>
      <c r="R41" s="4">
        <v>75.907629113819254</v>
      </c>
      <c r="S41" s="3">
        <f t="shared" si="19"/>
        <v>154.22745543818198</v>
      </c>
      <c r="T41" s="1">
        <f t="shared" si="20"/>
        <v>91</v>
      </c>
      <c r="U41" s="1">
        <f t="shared" si="8"/>
        <v>41.1</v>
      </c>
      <c r="V41" s="1" t="str">
        <f t="shared" si="3"/>
        <v/>
      </c>
      <c r="W41" s="1" t="str">
        <f t="shared" si="4"/>
        <v/>
      </c>
      <c r="X41" s="1">
        <f t="shared" si="9"/>
        <v>40</v>
      </c>
      <c r="Y41" s="4">
        <f t="shared" si="10"/>
        <v>31.561015209737629</v>
      </c>
    </row>
    <row r="42" spans="1:25" x14ac:dyDescent="0.25">
      <c r="A42" s="1" t="s">
        <v>36</v>
      </c>
      <c r="B42" s="1">
        <v>13</v>
      </c>
      <c r="C42" s="1" t="s">
        <v>10</v>
      </c>
      <c r="D42" s="2">
        <v>3375868</v>
      </c>
      <c r="E42" s="2">
        <v>6810540</v>
      </c>
      <c r="F42" s="2">
        <v>608425</v>
      </c>
      <c r="G42" s="1">
        <v>30</v>
      </c>
      <c r="H42" s="2">
        <v>2043162</v>
      </c>
      <c r="I42" s="2">
        <v>1021581</v>
      </c>
      <c r="J42" s="2">
        <v>1021581</v>
      </c>
      <c r="K42" s="2">
        <f t="shared" si="7"/>
        <v>2261530</v>
      </c>
      <c r="L42" s="2">
        <v>1356700</v>
      </c>
      <c r="M42" s="2">
        <v>904830</v>
      </c>
      <c r="N42" s="2">
        <v>75822</v>
      </c>
      <c r="O42" s="2">
        <v>7090319</v>
      </c>
      <c r="P42" s="4">
        <v>110.68774771652959</v>
      </c>
      <c r="Q42" s="4">
        <v>132.80395778699878</v>
      </c>
      <c r="R42" s="4">
        <v>88.571537646060378</v>
      </c>
      <c r="S42" s="3">
        <f t="shared" si="19"/>
        <v>8.9335794224833851</v>
      </c>
      <c r="T42" s="1">
        <f t="shared" si="20"/>
        <v>96.1</v>
      </c>
      <c r="U42" s="1" t="str">
        <f t="shared" si="8"/>
        <v/>
      </c>
      <c r="V42" s="1" t="str">
        <f t="shared" si="3"/>
        <v/>
      </c>
      <c r="W42" s="1">
        <f t="shared" si="4"/>
        <v>28.44</v>
      </c>
      <c r="X42" s="1">
        <f t="shared" si="9"/>
        <v>28.44</v>
      </c>
      <c r="Y42" s="4">
        <f t="shared" si="10"/>
        <v>33.206324314958877</v>
      </c>
    </row>
    <row r="43" spans="1:25" x14ac:dyDescent="0.25">
      <c r="A43" s="1" t="s">
        <v>36</v>
      </c>
      <c r="B43" s="1">
        <v>14</v>
      </c>
      <c r="C43" s="1" t="s">
        <v>11</v>
      </c>
      <c r="D43" s="2">
        <v>3375868</v>
      </c>
      <c r="E43" s="2">
        <v>4554449</v>
      </c>
      <c r="F43" s="2">
        <v>6791312</v>
      </c>
      <c r="G43" s="1">
        <v>30</v>
      </c>
      <c r="H43" s="2">
        <v>1366334.7</v>
      </c>
      <c r="I43" s="2">
        <v>683167.35</v>
      </c>
      <c r="J43" s="2">
        <v>683167.35</v>
      </c>
      <c r="K43" s="2">
        <f t="shared" si="7"/>
        <v>1343492</v>
      </c>
      <c r="L43" s="2">
        <v>674714</v>
      </c>
      <c r="M43" s="2">
        <v>668778</v>
      </c>
      <c r="N43" s="2">
        <v>50533</v>
      </c>
      <c r="O43" s="2">
        <v>7090319</v>
      </c>
      <c r="P43" s="4">
        <v>119.59309823573976</v>
      </c>
      <c r="Q43" s="4">
        <v>141.2924666262227</v>
      </c>
      <c r="R43" s="4">
        <v>97.8937298452568</v>
      </c>
      <c r="S43" s="3">
        <f t="shared" si="19"/>
        <v>149.1138005936613</v>
      </c>
      <c r="T43" s="1">
        <f t="shared" si="20"/>
        <v>64.2</v>
      </c>
      <c r="U43" s="1">
        <f t="shared" si="8"/>
        <v>35.200000000000003</v>
      </c>
      <c r="V43" s="1" t="str">
        <f t="shared" si="3"/>
        <v/>
      </c>
      <c r="W43" s="1" t="str">
        <f t="shared" si="4"/>
        <v/>
      </c>
      <c r="X43" s="1">
        <f t="shared" si="9"/>
        <v>35.200000000000003</v>
      </c>
      <c r="Y43" s="4">
        <f t="shared" si="10"/>
        <v>29.4984530510716</v>
      </c>
    </row>
    <row r="44" spans="1:25" x14ac:dyDescent="0.25">
      <c r="A44" s="1" t="s">
        <v>36</v>
      </c>
      <c r="B44" s="1">
        <v>15</v>
      </c>
      <c r="C44" s="1" t="s">
        <v>12</v>
      </c>
      <c r="D44" s="2">
        <v>3372924</v>
      </c>
      <c r="E44" s="2">
        <v>2475820</v>
      </c>
      <c r="F44" s="2">
        <v>7344699</v>
      </c>
      <c r="G44" s="1">
        <v>30</v>
      </c>
      <c r="H44" s="2">
        <v>742746</v>
      </c>
      <c r="I44" s="2">
        <v>371373</v>
      </c>
      <c r="J44" s="2">
        <v>371373</v>
      </c>
      <c r="K44" s="2">
        <f t="shared" si="7"/>
        <v>736985</v>
      </c>
      <c r="L44" s="2">
        <v>348837</v>
      </c>
      <c r="M44" s="2">
        <v>388148</v>
      </c>
      <c r="N44" s="2">
        <v>26212</v>
      </c>
      <c r="O44" s="2">
        <v>7090319</v>
      </c>
      <c r="P44" s="4">
        <v>115.02505567179088</v>
      </c>
      <c r="Q44" s="4">
        <v>125.53308937375631</v>
      </c>
      <c r="R44" s="4">
        <v>104.51702196982549</v>
      </c>
      <c r="S44" s="3">
        <f t="shared" si="19"/>
        <v>296.65722871614253</v>
      </c>
      <c r="T44" s="1">
        <f t="shared" si="20"/>
        <v>34.9</v>
      </c>
      <c r="U44" s="1" t="str">
        <f t="shared" si="8"/>
        <v/>
      </c>
      <c r="V44" s="1">
        <f t="shared" si="3"/>
        <v>24.9</v>
      </c>
      <c r="W44" s="1" t="str">
        <f t="shared" si="4"/>
        <v/>
      </c>
      <c r="X44" s="1">
        <f t="shared" si="9"/>
        <v>24.9</v>
      </c>
      <c r="Y44" s="4">
        <f t="shared" si="10"/>
        <v>29.76730941667811</v>
      </c>
    </row>
    <row r="45" spans="1:25" x14ac:dyDescent="0.25">
      <c r="A45" s="1" t="s">
        <v>36</v>
      </c>
      <c r="B45" s="1">
        <v>16</v>
      </c>
      <c r="C45" s="1" t="s">
        <v>13</v>
      </c>
      <c r="D45" s="2">
        <v>3372924</v>
      </c>
      <c r="E45" s="2">
        <v>7151263.5297602732</v>
      </c>
      <c r="F45" s="2">
        <v>9898813.2753655948</v>
      </c>
      <c r="G45" s="1">
        <v>30</v>
      </c>
      <c r="H45" s="2">
        <v>2145379.0589280818</v>
      </c>
      <c r="I45" s="2">
        <v>1072689.5294640409</v>
      </c>
      <c r="J45" s="2">
        <v>1072689.5294640409</v>
      </c>
      <c r="K45" s="2">
        <f t="shared" si="7"/>
        <v>2370118</v>
      </c>
      <c r="L45" s="2">
        <v>1393686</v>
      </c>
      <c r="M45" s="2">
        <v>976432</v>
      </c>
      <c r="N45" s="2">
        <v>95700</v>
      </c>
      <c r="O45" s="2">
        <v>7090319</v>
      </c>
      <c r="P45" s="4">
        <v>110.48919258046426</v>
      </c>
      <c r="Q45" s="4">
        <v>129.95186041356149</v>
      </c>
      <c r="R45" s="4">
        <v>91.02652474736702</v>
      </c>
      <c r="S45" s="3">
        <f t="shared" si="19"/>
        <v>138.42047960016131</v>
      </c>
      <c r="T45" s="1">
        <f t="shared" si="20"/>
        <v>100.89999999999999</v>
      </c>
      <c r="U45" s="1">
        <f t="shared" si="8"/>
        <v>43.2</v>
      </c>
      <c r="V45" s="1" t="str">
        <f t="shared" si="3"/>
        <v/>
      </c>
      <c r="W45" s="1" t="str">
        <f t="shared" si="4"/>
        <v/>
      </c>
      <c r="X45" s="1">
        <f t="shared" si="9"/>
        <v>40</v>
      </c>
      <c r="Y45" s="4">
        <f t="shared" si="10"/>
        <v>33.142646612541377</v>
      </c>
    </row>
    <row r="46" spans="1:25" x14ac:dyDescent="0.25">
      <c r="A46" s="1" t="s">
        <v>36</v>
      </c>
      <c r="B46" s="1">
        <v>17</v>
      </c>
      <c r="C46" s="1" t="s">
        <v>14</v>
      </c>
      <c r="D46" s="2">
        <v>3372924</v>
      </c>
      <c r="E46" s="2">
        <v>7472918.8976181289</v>
      </c>
      <c r="F46" s="2">
        <v>1394801.4306300632</v>
      </c>
      <c r="G46" s="1">
        <v>40</v>
      </c>
      <c r="H46" s="2">
        <v>2615521.614166345</v>
      </c>
      <c r="I46" s="2">
        <v>1396608</v>
      </c>
      <c r="J46" s="2">
        <v>1218914</v>
      </c>
      <c r="K46" s="2">
        <f t="shared" si="7"/>
        <v>2410182.1384186</v>
      </c>
      <c r="L46" s="2">
        <v>1102421.1384185997</v>
      </c>
      <c r="M46" s="2">
        <v>1307761</v>
      </c>
      <c r="N46" s="2">
        <v>75197.980600129202</v>
      </c>
      <c r="O46" s="2">
        <v>7090319</v>
      </c>
      <c r="P46" s="4">
        <v>114.66350482567532</v>
      </c>
      <c r="Q46" s="4">
        <v>78.935606841719363</v>
      </c>
      <c r="R46" s="4">
        <v>107.28902941470851</v>
      </c>
      <c r="S46" s="3">
        <f t="shared" si="19"/>
        <v>18.664747332861239</v>
      </c>
      <c r="T46" s="1">
        <f t="shared" si="20"/>
        <v>105.4</v>
      </c>
      <c r="U46" s="1" t="str">
        <f t="shared" si="8"/>
        <v/>
      </c>
      <c r="V46" s="1" t="str">
        <f t="shared" si="3"/>
        <v/>
      </c>
      <c r="W46" s="1">
        <f t="shared" si="4"/>
        <v>32.159999999999997</v>
      </c>
      <c r="X46" s="1">
        <f t="shared" si="9"/>
        <v>32.159999999999997</v>
      </c>
      <c r="Y46" s="4">
        <f t="shared" si="10"/>
        <v>32.252218596762852</v>
      </c>
    </row>
    <row r="47" spans="1:25" x14ac:dyDescent="0.25">
      <c r="A47" s="1" t="s">
        <v>36</v>
      </c>
      <c r="B47" s="1">
        <v>18</v>
      </c>
      <c r="C47" s="1" t="s">
        <v>15</v>
      </c>
      <c r="D47" s="2">
        <v>3372924</v>
      </c>
      <c r="E47" s="2">
        <v>5680975.3158241138</v>
      </c>
      <c r="F47" s="2">
        <v>6848606.8876959216</v>
      </c>
      <c r="G47" s="1">
        <v>36.5</v>
      </c>
      <c r="H47" s="2">
        <v>1891764.78016943</v>
      </c>
      <c r="I47" s="2">
        <v>889827.43342746096</v>
      </c>
      <c r="J47" s="2">
        <v>1212133.433427461</v>
      </c>
      <c r="K47" s="2">
        <f t="shared" si="7"/>
        <v>1090544</v>
      </c>
      <c r="L47" s="2">
        <v>802720</v>
      </c>
      <c r="M47" s="2">
        <v>287824</v>
      </c>
      <c r="N47" s="2">
        <v>58626</v>
      </c>
      <c r="O47" s="2">
        <v>7090319</v>
      </c>
      <c r="P47" s="4">
        <v>43.415644920390768</v>
      </c>
      <c r="Q47" s="4">
        <v>90.210749842591582</v>
      </c>
      <c r="R47" s="4">
        <v>23.745240586767842</v>
      </c>
      <c r="S47" s="3">
        <f t="shared" si="19"/>
        <v>120.55336464179697</v>
      </c>
      <c r="T47" s="1">
        <f t="shared" si="20"/>
        <v>80.100000000000009</v>
      </c>
      <c r="U47" s="1">
        <f t="shared" si="8"/>
        <v>38.700000000000003</v>
      </c>
      <c r="V47" s="1" t="str">
        <f t="shared" si="3"/>
        <v/>
      </c>
      <c r="W47" s="1" t="str">
        <f t="shared" si="4"/>
        <v/>
      </c>
      <c r="X47" s="1">
        <f t="shared" si="9"/>
        <v>38.700000000000003</v>
      </c>
      <c r="Y47" s="4">
        <f t="shared" si="10"/>
        <v>19.196422082003004</v>
      </c>
    </row>
    <row r="48" spans="1:25" x14ac:dyDescent="0.25">
      <c r="A48" s="1" t="s">
        <v>36</v>
      </c>
      <c r="B48" s="1">
        <v>19</v>
      </c>
      <c r="C48" s="1" t="s">
        <v>16</v>
      </c>
      <c r="D48" s="2">
        <v>3372924</v>
      </c>
      <c r="E48" s="2">
        <v>6440689</v>
      </c>
      <c r="F48" s="2">
        <v>7077967</v>
      </c>
      <c r="G48" s="1">
        <v>39</v>
      </c>
      <c r="H48" s="2">
        <v>2511868.71</v>
      </c>
      <c r="I48" s="2">
        <v>1094781.355</v>
      </c>
      <c r="J48" s="2">
        <v>1417087.355</v>
      </c>
      <c r="K48" s="2">
        <f t="shared" si="7"/>
        <v>2009272</v>
      </c>
      <c r="L48" s="2">
        <v>983177</v>
      </c>
      <c r="M48" s="2">
        <v>1026095</v>
      </c>
      <c r="N48" s="2">
        <v>69536</v>
      </c>
      <c r="O48" s="2">
        <v>7090319</v>
      </c>
      <c r="P48" s="4">
        <v>96.43972015416027</v>
      </c>
      <c r="Q48" s="4">
        <v>89.805812137312131</v>
      </c>
      <c r="R48" s="4">
        <v>72.408733052310666</v>
      </c>
      <c r="S48" s="3">
        <f t="shared" si="19"/>
        <v>109.89456252273631</v>
      </c>
      <c r="T48" s="1">
        <f t="shared" si="20"/>
        <v>90.8</v>
      </c>
      <c r="U48" s="1">
        <f t="shared" si="8"/>
        <v>41</v>
      </c>
      <c r="V48" s="1" t="str">
        <f t="shared" si="3"/>
        <v/>
      </c>
      <c r="W48" s="1" t="str">
        <f t="shared" si="4"/>
        <v/>
      </c>
      <c r="X48" s="1">
        <f t="shared" si="9"/>
        <v>40</v>
      </c>
      <c r="Y48" s="4">
        <f t="shared" si="10"/>
        <v>31.196538134351776</v>
      </c>
    </row>
    <row r="49" spans="1:25" x14ac:dyDescent="0.25">
      <c r="A49" s="1" t="s">
        <v>36</v>
      </c>
      <c r="B49" s="1">
        <v>20</v>
      </c>
      <c r="C49" s="1" t="s">
        <v>17</v>
      </c>
      <c r="D49" s="2">
        <v>3372924</v>
      </c>
      <c r="E49" s="2">
        <v>5708079.173169448</v>
      </c>
      <c r="F49" s="2">
        <v>2780283.1992922747</v>
      </c>
      <c r="G49" s="1">
        <v>36.5</v>
      </c>
      <c r="H49" s="2">
        <v>2083448.8982068484</v>
      </c>
      <c r="I49" s="2">
        <v>880571.44910342421</v>
      </c>
      <c r="J49" s="2">
        <v>1202877.4491034243</v>
      </c>
      <c r="K49" s="2">
        <f t="shared" si="7"/>
        <v>1943386.1737027629</v>
      </c>
      <c r="L49" s="2">
        <v>1040193.1737027628</v>
      </c>
      <c r="M49" s="2">
        <v>903193</v>
      </c>
      <c r="N49" s="2">
        <v>109388.68114027579</v>
      </c>
      <c r="O49" s="2">
        <v>7090319</v>
      </c>
      <c r="P49" s="4">
        <v>95.887353019284788</v>
      </c>
      <c r="Q49" s="4">
        <v>124.30234947027465</v>
      </c>
      <c r="R49" s="4">
        <v>75.086036459757651</v>
      </c>
      <c r="S49" s="3">
        <f t="shared" si="19"/>
        <v>48.707859771126898</v>
      </c>
      <c r="T49" s="1">
        <f t="shared" si="20"/>
        <v>80.5</v>
      </c>
      <c r="U49" s="1" t="str">
        <f t="shared" si="8"/>
        <v/>
      </c>
      <c r="V49" s="1" t="str">
        <f t="shared" si="3"/>
        <v/>
      </c>
      <c r="W49" s="1">
        <f t="shared" si="4"/>
        <v>22.2</v>
      </c>
      <c r="X49" s="1">
        <f t="shared" si="9"/>
        <v>22.2</v>
      </c>
      <c r="Y49" s="4">
        <f t="shared" si="10"/>
        <v>34.046237179707603</v>
      </c>
    </row>
    <row r="50" spans="1:25" x14ac:dyDescent="0.25">
      <c r="A50" s="1" t="s">
        <v>36</v>
      </c>
      <c r="B50" s="1">
        <v>21</v>
      </c>
      <c r="C50" s="1" t="s">
        <v>18</v>
      </c>
      <c r="D50" s="2">
        <v>3372924</v>
      </c>
      <c r="E50" s="2">
        <v>4040482.437591441</v>
      </c>
      <c r="F50" s="2">
        <v>6232276.0776504371</v>
      </c>
      <c r="G50" s="1">
        <v>32.799999999999997</v>
      </c>
      <c r="H50" s="2">
        <v>1325278.2395299927</v>
      </c>
      <c r="I50" s="2">
        <v>591366.11976499634</v>
      </c>
      <c r="J50" s="2">
        <v>733912.11976499634</v>
      </c>
      <c r="K50" s="2">
        <f t="shared" si="7"/>
        <v>967052.33857194916</v>
      </c>
      <c r="L50" s="2">
        <v>233140.33857194919</v>
      </c>
      <c r="M50" s="2">
        <v>733912</v>
      </c>
      <c r="N50" s="2">
        <v>44600.553747660582</v>
      </c>
      <c r="O50" s="2">
        <v>7090319</v>
      </c>
      <c r="P50" s="4">
        <v>98.930395210063978</v>
      </c>
      <c r="Q50" s="4">
        <v>97.602987507869159</v>
      </c>
      <c r="R50" s="4">
        <v>99.999983681289208</v>
      </c>
      <c r="S50" s="3">
        <f t="shared" si="19"/>
        <v>154.2458400429415</v>
      </c>
      <c r="T50" s="1">
        <f t="shared" si="20"/>
        <v>56.999999999999993</v>
      </c>
      <c r="U50" s="1">
        <f t="shared" si="8"/>
        <v>33.700000000000003</v>
      </c>
      <c r="V50" s="1" t="str">
        <f t="shared" si="3"/>
        <v/>
      </c>
      <c r="W50" s="1" t="str">
        <f t="shared" si="4"/>
        <v/>
      </c>
      <c r="X50" s="1">
        <f t="shared" si="9"/>
        <v>33.700000000000003</v>
      </c>
      <c r="Y50" s="4">
        <f t="shared" si="10"/>
        <v>23.934080979409369</v>
      </c>
    </row>
    <row r="51" spans="1:25" x14ac:dyDescent="0.25">
      <c r="A51" s="1" t="s">
        <v>36</v>
      </c>
      <c r="B51" s="1">
        <v>22</v>
      </c>
      <c r="C51" s="1" t="s">
        <v>19</v>
      </c>
      <c r="D51" s="2">
        <v>3372924</v>
      </c>
      <c r="E51" s="2">
        <v>5236188</v>
      </c>
      <c r="F51" s="2">
        <v>8332329</v>
      </c>
      <c r="G51" s="1">
        <v>35.6</v>
      </c>
      <c r="H51" s="2">
        <v>1864082.9279999998</v>
      </c>
      <c r="I51" s="2">
        <v>860768.46399999992</v>
      </c>
      <c r="J51" s="2">
        <v>1003314.4639999999</v>
      </c>
      <c r="K51" s="2">
        <f t="shared" si="7"/>
        <v>1788878.7242826994</v>
      </c>
      <c r="L51" s="2">
        <v>832028.7242826994</v>
      </c>
      <c r="M51" s="2">
        <v>956850</v>
      </c>
      <c r="N51" s="2">
        <v>62037.806187145252</v>
      </c>
      <c r="O51" s="2">
        <v>7090319</v>
      </c>
      <c r="P51" s="4">
        <v>97.974181972659551</v>
      </c>
      <c r="Q51" s="4">
        <v>101.01090320613793</v>
      </c>
      <c r="R51" s="4">
        <v>95.368903203612149</v>
      </c>
      <c r="S51" s="3">
        <f t="shared" si="19"/>
        <v>159.12967601621637</v>
      </c>
      <c r="T51" s="1">
        <f t="shared" si="20"/>
        <v>73.8</v>
      </c>
      <c r="U51" s="1">
        <f t="shared" si="8"/>
        <v>37.299999999999997</v>
      </c>
      <c r="V51" s="1" t="str">
        <f t="shared" si="3"/>
        <v/>
      </c>
      <c r="W51" s="1" t="str">
        <f t="shared" si="4"/>
        <v/>
      </c>
      <c r="X51" s="1">
        <f t="shared" si="9"/>
        <v>37.299999999999997</v>
      </c>
      <c r="Y51" s="4">
        <f t="shared" si="10"/>
        <v>34.163760435696723</v>
      </c>
    </row>
    <row r="52" spans="1:25" x14ac:dyDescent="0.25">
      <c r="A52" s="1" t="s">
        <v>36</v>
      </c>
      <c r="B52" s="1">
        <v>23</v>
      </c>
      <c r="C52" s="1" t="s">
        <v>20</v>
      </c>
      <c r="D52" s="2">
        <v>3372924</v>
      </c>
      <c r="E52" s="2">
        <v>10536758</v>
      </c>
      <c r="F52" s="2">
        <v>6375231</v>
      </c>
      <c r="G52" s="1">
        <v>40</v>
      </c>
      <c r="H52" s="2">
        <v>4214703.2</v>
      </c>
      <c r="I52" s="2">
        <v>2036078.5</v>
      </c>
      <c r="J52" s="2">
        <v>2178624.5</v>
      </c>
      <c r="K52" s="2">
        <f t="shared" si="7"/>
        <v>2835315.6625862094</v>
      </c>
      <c r="L52" s="2">
        <v>697548.6625862096</v>
      </c>
      <c r="M52" s="2">
        <v>2137767</v>
      </c>
      <c r="N52" s="2">
        <v>51380.345071921227</v>
      </c>
      <c r="O52" s="2">
        <v>7090319</v>
      </c>
      <c r="P52" s="4">
        <v>67.934030205441715</v>
      </c>
      <c r="Q52" s="4">
        <v>35.629795663067895</v>
      </c>
      <c r="R52" s="4">
        <v>98.124619455991606</v>
      </c>
      <c r="S52" s="3">
        <f t="shared" si="19"/>
        <v>60.504673259080256</v>
      </c>
      <c r="T52" s="1">
        <f t="shared" si="20"/>
        <v>148.6</v>
      </c>
      <c r="U52" s="1" t="str">
        <f t="shared" si="8"/>
        <v/>
      </c>
      <c r="V52" s="1" t="str">
        <f t="shared" si="3"/>
        <v/>
      </c>
      <c r="W52" s="1">
        <f t="shared" si="4"/>
        <v>49.44</v>
      </c>
      <c r="X52" s="1">
        <f t="shared" si="9"/>
        <v>40</v>
      </c>
      <c r="Y52" s="4">
        <f t="shared" si="10"/>
        <v>26.908804990929937</v>
      </c>
    </row>
    <row r="53" spans="1:25" x14ac:dyDescent="0.25">
      <c r="A53" s="1" t="s">
        <v>36</v>
      </c>
      <c r="B53" s="1">
        <v>24</v>
      </c>
      <c r="C53" s="1" t="s">
        <v>21</v>
      </c>
      <c r="D53" s="2">
        <v>3372924</v>
      </c>
      <c r="E53" s="2">
        <v>11848503.289816255</v>
      </c>
      <c r="F53" s="2">
        <v>12560196</v>
      </c>
      <c r="G53" s="1">
        <v>40</v>
      </c>
      <c r="H53" s="2">
        <v>4739401.3159265025</v>
      </c>
      <c r="I53" s="2">
        <v>2369700.6579632512</v>
      </c>
      <c r="J53" s="2">
        <v>2369700.6579632512</v>
      </c>
      <c r="K53" s="2">
        <f t="shared" si="7"/>
        <v>628653</v>
      </c>
      <c r="L53" s="2">
        <v>245870</v>
      </c>
      <c r="M53" s="2">
        <v>382783</v>
      </c>
      <c r="N53" s="2">
        <v>15177.176400813745</v>
      </c>
      <c r="O53" s="2">
        <v>7090319</v>
      </c>
      <c r="Q53" s="4">
        <v>10.375582960951132</v>
      </c>
      <c r="R53" s="4">
        <v>16.153221661718259</v>
      </c>
      <c r="S53" s="3">
        <f t="shared" si="19"/>
        <v>106.00660431765625</v>
      </c>
      <c r="T53" s="1">
        <f t="shared" si="20"/>
        <v>167.1</v>
      </c>
      <c r="U53" s="1">
        <f t="shared" si="8"/>
        <v>57.5</v>
      </c>
      <c r="V53" s="1" t="str">
        <f t="shared" si="3"/>
        <v/>
      </c>
      <c r="W53" s="1" t="str">
        <f t="shared" si="4"/>
        <v/>
      </c>
      <c r="X53" s="1">
        <f t="shared" si="9"/>
        <v>40</v>
      </c>
      <c r="Y53" s="4">
        <f t="shared" si="10"/>
        <v>5.3057587496331706</v>
      </c>
    </row>
    <row r="54" spans="1:25" x14ac:dyDescent="0.25">
      <c r="A54" s="1" t="s">
        <v>36</v>
      </c>
      <c r="B54" s="1">
        <v>25</v>
      </c>
      <c r="C54" s="1" t="s">
        <v>23</v>
      </c>
      <c r="D54" s="2">
        <v>3372924</v>
      </c>
      <c r="E54" s="2">
        <v>16519110.132892301</v>
      </c>
      <c r="F54" s="2">
        <v>15426336.391075434</v>
      </c>
      <c r="G54" s="1">
        <v>40</v>
      </c>
      <c r="H54" s="2">
        <v>6607644.0531569207</v>
      </c>
      <c r="I54" s="2">
        <v>3303822.0265784604</v>
      </c>
      <c r="J54" s="2">
        <v>3303822.0265784604</v>
      </c>
      <c r="K54" s="2">
        <f t="shared" si="7"/>
        <v>4133267</v>
      </c>
      <c r="L54" s="2">
        <v>1657587</v>
      </c>
      <c r="M54" s="2">
        <v>2475680</v>
      </c>
      <c r="N54" s="2">
        <v>96380.323897872542</v>
      </c>
      <c r="O54" s="2">
        <v>7090319</v>
      </c>
      <c r="P54" s="4">
        <v>62.884183327260132</v>
      </c>
      <c r="Q54" s="4">
        <v>50.834548183557096</v>
      </c>
      <c r="R54" s="4">
        <v>74.933818470963161</v>
      </c>
      <c r="S54" s="3">
        <f t="shared" si="19"/>
        <v>93.384790506112239</v>
      </c>
      <c r="T54" s="1">
        <f t="shared" si="20"/>
        <v>233</v>
      </c>
      <c r="U54" s="1" t="str">
        <f t="shared" si="8"/>
        <v/>
      </c>
      <c r="V54" s="1" t="str">
        <f t="shared" si="3"/>
        <v/>
      </c>
      <c r="W54" s="1">
        <f t="shared" si="4"/>
        <v>83.2</v>
      </c>
      <c r="X54" s="1">
        <f t="shared" si="9"/>
        <v>40</v>
      </c>
      <c r="Y54" s="4">
        <f t="shared" si="10"/>
        <v>25.021123818104325</v>
      </c>
    </row>
    <row r="55" spans="1:25" x14ac:dyDescent="0.25">
      <c r="A55" s="1" t="s">
        <v>36</v>
      </c>
      <c r="B55" s="1">
        <v>26</v>
      </c>
      <c r="C55" s="1" t="s">
        <v>42</v>
      </c>
      <c r="D55" s="2">
        <v>3372924</v>
      </c>
      <c r="E55" s="2">
        <v>14369717</v>
      </c>
      <c r="F55" s="2">
        <v>8845252</v>
      </c>
      <c r="G55" s="1">
        <v>40</v>
      </c>
      <c r="H55" s="2">
        <v>5747886.8000000007</v>
      </c>
      <c r="I55" s="2">
        <v>2873943.4000000004</v>
      </c>
      <c r="J55" s="2">
        <v>2873943.4000000004</v>
      </c>
      <c r="K55" s="2">
        <f t="shared" si="7"/>
        <v>1185177</v>
      </c>
      <c r="L55" s="2">
        <v>1185177</v>
      </c>
      <c r="N55" s="2">
        <v>80181.636196719192</v>
      </c>
      <c r="O55" s="2">
        <v>7090319</v>
      </c>
      <c r="P55" s="4">
        <v>20.619352667963437</v>
      </c>
      <c r="Q55" s="4">
        <v>41.238705335926873</v>
      </c>
      <c r="S55" s="3">
        <f t="shared" ref="S55:S57" si="21">F55/E55*100</f>
        <v>61.554810021658746</v>
      </c>
      <c r="T55" s="1">
        <f t="shared" ref="T55:T57" si="22">ROUND(E55/O55,3)*100</f>
        <v>202.70000000000002</v>
      </c>
      <c r="U55" s="1" t="str">
        <f t="shared" ref="U55:U57" si="23">IF(AND(T55&gt;40,S55&gt;=100),ROUND(30+13*((T55-40)/(100-40)),1),"")</f>
        <v/>
      </c>
      <c r="V55" s="1" t="str">
        <f t="shared" ref="V55:V57" si="24">IF(AND(S55&gt;=100,T55&gt;=10,T55&lt;=40),ROUND(30*((T55-10)/(40-10)),1),"")</f>
        <v/>
      </c>
      <c r="W55" s="1">
        <f t="shared" ref="W55:W57" si="25">IF(AND(S55&lt;100,T55&gt;=25),(30*(T55-25)/(100-25)),"")</f>
        <v>71.080000000000013</v>
      </c>
      <c r="X55" s="1">
        <f t="shared" ref="X55:X57" si="26">IF(SUM(U55:W55)&gt;40,40,SUM(U55:W55))</f>
        <v>40</v>
      </c>
      <c r="Y55" s="4">
        <f t="shared" si="10"/>
        <v>8.2477407175103039</v>
      </c>
    </row>
    <row r="56" spans="1:25" x14ac:dyDescent="0.25">
      <c r="A56" s="1" t="s">
        <v>36</v>
      </c>
      <c r="B56" s="1">
        <v>27</v>
      </c>
      <c r="C56" s="1" t="s">
        <v>43</v>
      </c>
      <c r="D56" s="2">
        <v>3372924</v>
      </c>
      <c r="E56" s="2">
        <v>6922690</v>
      </c>
      <c r="F56" s="2">
        <v>9383846</v>
      </c>
      <c r="G56" s="1">
        <v>39.5</v>
      </c>
      <c r="H56" s="2">
        <v>2734462.5500000003</v>
      </c>
      <c r="I56" s="2">
        <v>1367231.2750000001</v>
      </c>
      <c r="J56" s="2">
        <v>1367231.2750000001</v>
      </c>
      <c r="K56" s="2">
        <f t="shared" si="7"/>
        <v>1105545</v>
      </c>
      <c r="L56" s="2">
        <v>1105545</v>
      </c>
      <c r="N56" s="2">
        <v>86088</v>
      </c>
      <c r="O56" s="2">
        <v>7090319</v>
      </c>
      <c r="P56" s="4">
        <v>40.430049359783972</v>
      </c>
      <c r="Q56" s="4">
        <v>80.860098719567944</v>
      </c>
      <c r="S56" s="3">
        <f t="shared" si="21"/>
        <v>135.55201807389903</v>
      </c>
      <c r="T56" s="1">
        <f t="shared" si="22"/>
        <v>97.6</v>
      </c>
      <c r="U56" s="1">
        <f t="shared" si="23"/>
        <v>42.5</v>
      </c>
      <c r="V56" s="1" t="str">
        <f t="shared" si="24"/>
        <v/>
      </c>
      <c r="W56" s="1" t="str">
        <f t="shared" si="25"/>
        <v/>
      </c>
      <c r="X56" s="1">
        <f t="shared" si="26"/>
        <v>40</v>
      </c>
      <c r="Y56" s="4">
        <f t="shared" si="10"/>
        <v>15.969875871951512</v>
      </c>
    </row>
    <row r="57" spans="1:25" x14ac:dyDescent="0.25">
      <c r="A57" s="1" t="s">
        <v>36</v>
      </c>
      <c r="B57" s="1">
        <v>28</v>
      </c>
      <c r="C57" s="1" t="s">
        <v>44</v>
      </c>
      <c r="D57" s="2">
        <v>3372924</v>
      </c>
      <c r="E57" s="2">
        <v>5931332.7909944057</v>
      </c>
      <c r="F57" s="2">
        <v>4209106.9730303753</v>
      </c>
      <c r="G57" s="1">
        <v>37.200000000000003</v>
      </c>
      <c r="H57" s="2">
        <v>2212387.1310409135</v>
      </c>
      <c r="I57" s="2">
        <v>1106193.5655204568</v>
      </c>
      <c r="J57" s="2">
        <v>1106193.5655204568</v>
      </c>
      <c r="K57" s="2">
        <f t="shared" si="7"/>
        <v>791059.26044123876</v>
      </c>
      <c r="L57" s="2">
        <v>791059.26044123876</v>
      </c>
      <c r="N57" s="2">
        <v>66628</v>
      </c>
      <c r="O57" s="2">
        <v>7090319</v>
      </c>
      <c r="S57" s="3">
        <f t="shared" si="21"/>
        <v>70.96393207646517</v>
      </c>
      <c r="T57" s="1">
        <f t="shared" si="22"/>
        <v>83.7</v>
      </c>
      <c r="U57" s="1" t="str">
        <f t="shared" si="23"/>
        <v/>
      </c>
      <c r="V57" s="1" t="str">
        <f t="shared" si="24"/>
        <v/>
      </c>
      <c r="W57" s="1">
        <f t="shared" si="25"/>
        <v>23.48</v>
      </c>
      <c r="X57" s="1">
        <f t="shared" si="26"/>
        <v>23.48</v>
      </c>
      <c r="Y57" s="4">
        <f t="shared" si="10"/>
        <v>13.33695626794556</v>
      </c>
    </row>
    <row r="58" spans="1:25" x14ac:dyDescent="0.25">
      <c r="A58" s="1" t="s">
        <v>39</v>
      </c>
      <c r="B58" s="1">
        <v>1</v>
      </c>
      <c r="C58" s="1" t="s">
        <v>31</v>
      </c>
      <c r="D58" s="2">
        <v>2325140</v>
      </c>
      <c r="E58" s="2">
        <v>2638590</v>
      </c>
      <c r="F58" s="2">
        <v>19750368</v>
      </c>
      <c r="G58" s="1">
        <v>25.4</v>
      </c>
      <c r="H58" s="2">
        <v>670201.86</v>
      </c>
      <c r="I58" s="2">
        <v>315100.93</v>
      </c>
      <c r="J58" s="2">
        <v>355100.93</v>
      </c>
      <c r="K58" s="2">
        <f t="shared" si="7"/>
        <v>892191</v>
      </c>
      <c r="L58" s="2">
        <v>537191</v>
      </c>
      <c r="M58" s="2">
        <v>355000</v>
      </c>
      <c r="N58" s="2">
        <v>30611</v>
      </c>
      <c r="O58" s="2">
        <v>5352669</v>
      </c>
      <c r="P58" s="4">
        <v>133.12272812850742</v>
      </c>
      <c r="Q58" s="4">
        <v>170.4822007348566</v>
      </c>
      <c r="R58" s="4">
        <v>99.971577094996618</v>
      </c>
      <c r="S58" s="3">
        <f t="shared" ref="S58:S72" si="27">F58/E58*100</f>
        <v>748.51977760849547</v>
      </c>
      <c r="T58" s="1">
        <f t="shared" si="20"/>
        <v>49.3</v>
      </c>
      <c r="U58" s="1">
        <f>IF(AND(T58&gt;40,S58&gt;=100),ROUND(30+13*((T58-40)/(100-40)),1),"")</f>
        <v>32</v>
      </c>
      <c r="V58" s="1" t="str">
        <f t="shared" si="3"/>
        <v/>
      </c>
      <c r="W58" s="1" t="str">
        <f t="shared" ref="W58:W82" si="28">IF(AND(S58&lt;100,T58&gt;=25),(30*(T58-25)/(100-25)),"")</f>
        <v/>
      </c>
      <c r="X58" s="1">
        <f t="shared" ref="X58:X82" si="29">IF(SUM(U58:W58)&gt;40,40,SUM(U58:W58))</f>
        <v>32</v>
      </c>
      <c r="Y58" s="4">
        <f t="shared" si="10"/>
        <v>33.81317294464089</v>
      </c>
    </row>
    <row r="59" spans="1:25" x14ac:dyDescent="0.25">
      <c r="A59" s="1" t="s">
        <v>39</v>
      </c>
      <c r="B59" s="1">
        <v>2</v>
      </c>
      <c r="C59" s="1" t="s">
        <v>30</v>
      </c>
      <c r="D59" s="2">
        <v>2325140</v>
      </c>
      <c r="E59" s="2">
        <v>6242839</v>
      </c>
      <c r="F59" s="2">
        <v>2913691</v>
      </c>
      <c r="G59" s="1">
        <v>25.4</v>
      </c>
      <c r="H59" s="2">
        <v>1585681.1059999999</v>
      </c>
      <c r="I59" s="2">
        <v>624840.55299999996</v>
      </c>
      <c r="J59" s="2">
        <v>960840.55299999996</v>
      </c>
      <c r="K59" s="2">
        <f t="shared" si="7"/>
        <v>0</v>
      </c>
      <c r="L59" s="2">
        <v>0</v>
      </c>
      <c r="M59" s="2">
        <v>0</v>
      </c>
      <c r="N59" s="2">
        <v>0</v>
      </c>
      <c r="O59" s="2">
        <v>5352669</v>
      </c>
      <c r="P59" s="4">
        <v>0</v>
      </c>
      <c r="Q59" s="4">
        <v>0</v>
      </c>
      <c r="R59" s="4">
        <v>0</v>
      </c>
      <c r="S59" s="3">
        <f t="shared" si="27"/>
        <v>46.672531519714028</v>
      </c>
      <c r="T59" s="1">
        <f t="shared" si="20"/>
        <v>116.6</v>
      </c>
      <c r="U59" s="1" t="str">
        <f t="shared" si="8"/>
        <v/>
      </c>
      <c r="V59" s="1" t="str">
        <f t="shared" si="3"/>
        <v/>
      </c>
      <c r="W59" s="1">
        <f t="shared" si="28"/>
        <v>36.64</v>
      </c>
      <c r="X59" s="1">
        <f t="shared" si="29"/>
        <v>36.64</v>
      </c>
      <c r="Y59" s="4">
        <f t="shared" si="10"/>
        <v>0</v>
      </c>
    </row>
    <row r="60" spans="1:25" x14ac:dyDescent="0.25">
      <c r="A60" s="1" t="s">
        <v>39</v>
      </c>
      <c r="B60" s="1">
        <v>3</v>
      </c>
      <c r="C60" s="1" t="s">
        <v>0</v>
      </c>
      <c r="D60" s="2">
        <v>2325140</v>
      </c>
      <c r="E60" s="2">
        <v>2792792</v>
      </c>
      <c r="F60" s="2">
        <v>5937786</v>
      </c>
      <c r="G60" s="1">
        <v>25.4</v>
      </c>
      <c r="H60" s="2">
        <v>709369.16800000006</v>
      </c>
      <c r="I60" s="2">
        <v>300684.58400000003</v>
      </c>
      <c r="J60" s="2">
        <v>408684.58400000003</v>
      </c>
      <c r="K60" s="2">
        <f t="shared" si="7"/>
        <v>724414</v>
      </c>
      <c r="L60" s="2">
        <v>318783</v>
      </c>
      <c r="M60" s="2">
        <v>405631</v>
      </c>
      <c r="N60" s="2">
        <v>21408</v>
      </c>
      <c r="O60" s="2">
        <v>5352669</v>
      </c>
      <c r="P60" s="4">
        <v>102.1208748108432</v>
      </c>
      <c r="Q60" s="4">
        <v>106.01907013629936</v>
      </c>
      <c r="R60" s="4">
        <v>99.252826233347719</v>
      </c>
      <c r="S60" s="3">
        <f t="shared" si="27"/>
        <v>212.61110745089499</v>
      </c>
      <c r="T60" s="1">
        <f t="shared" si="20"/>
        <v>52.2</v>
      </c>
      <c r="U60" s="1">
        <f t="shared" si="8"/>
        <v>32.6</v>
      </c>
      <c r="V60" s="1" t="str">
        <f t="shared" si="3"/>
        <v/>
      </c>
      <c r="W60" s="1" t="str">
        <f t="shared" si="28"/>
        <v/>
      </c>
      <c r="X60" s="1">
        <f t="shared" si="29"/>
        <v>32.6</v>
      </c>
      <c r="Y60" s="4">
        <f t="shared" si="10"/>
        <v>25.938702201954172</v>
      </c>
    </row>
    <row r="61" spans="1:25" x14ac:dyDescent="0.25">
      <c r="A61" s="1" t="s">
        <v>39</v>
      </c>
      <c r="B61" s="1">
        <v>4</v>
      </c>
      <c r="C61" s="1" t="s">
        <v>1</v>
      </c>
      <c r="D61" s="2">
        <v>2325140</v>
      </c>
      <c r="E61" s="2">
        <v>3699951</v>
      </c>
      <c r="F61" s="2">
        <v>5575492</v>
      </c>
      <c r="G61" s="1">
        <v>25.4</v>
      </c>
      <c r="H61" s="2">
        <v>939787.554</v>
      </c>
      <c r="I61" s="2">
        <v>409893.777</v>
      </c>
      <c r="J61" s="2">
        <v>529893.777</v>
      </c>
      <c r="K61" s="2">
        <f t="shared" si="7"/>
        <v>864185</v>
      </c>
      <c r="L61" s="2">
        <v>422356</v>
      </c>
      <c r="M61" s="2">
        <v>441829</v>
      </c>
      <c r="N61" s="2">
        <v>26589</v>
      </c>
      <c r="O61" s="2">
        <v>5352669</v>
      </c>
      <c r="P61" s="4">
        <v>91.955356965708447</v>
      </c>
      <c r="Q61" s="4">
        <v>103.04035428183629</v>
      </c>
      <c r="R61" s="4">
        <v>83.380673481658945</v>
      </c>
      <c r="S61" s="3">
        <f t="shared" si="27"/>
        <v>150.69096861012483</v>
      </c>
      <c r="T61" s="1">
        <f t="shared" si="20"/>
        <v>69.099999999999994</v>
      </c>
      <c r="U61" s="1">
        <f t="shared" si="8"/>
        <v>36.299999999999997</v>
      </c>
      <c r="V61" s="1" t="str">
        <f t="shared" si="3"/>
        <v/>
      </c>
      <c r="W61" s="1" t="str">
        <f t="shared" si="28"/>
        <v/>
      </c>
      <c r="X61" s="1">
        <f t="shared" si="29"/>
        <v>36.299999999999997</v>
      </c>
      <c r="Y61" s="4">
        <f t="shared" si="10"/>
        <v>23.356660669289944</v>
      </c>
    </row>
    <row r="62" spans="1:25" x14ac:dyDescent="0.25">
      <c r="A62" s="1" t="s">
        <v>39</v>
      </c>
      <c r="B62" s="1">
        <v>5</v>
      </c>
      <c r="C62" s="1" t="s">
        <v>2</v>
      </c>
      <c r="D62" s="2">
        <v>2325140</v>
      </c>
      <c r="E62" s="2">
        <v>5244123</v>
      </c>
      <c r="F62" s="2">
        <v>6040699</v>
      </c>
      <c r="G62" s="1">
        <v>25.4</v>
      </c>
      <c r="H62" s="2">
        <v>1332007.2420000001</v>
      </c>
      <c r="I62" s="2">
        <v>345503.62100000004</v>
      </c>
      <c r="J62" s="2">
        <v>986503.62100000004</v>
      </c>
      <c r="K62" s="2">
        <f t="shared" si="7"/>
        <v>866652</v>
      </c>
      <c r="L62" s="2">
        <v>374907</v>
      </c>
      <c r="M62" s="2">
        <v>491745</v>
      </c>
      <c r="N62" s="2">
        <v>24452</v>
      </c>
      <c r="O62" s="2">
        <v>5352669</v>
      </c>
      <c r="P62" s="4">
        <v>65.063610217218312</v>
      </c>
      <c r="Q62" s="4">
        <v>108.51029546807555</v>
      </c>
      <c r="R62" s="4">
        <v>49.847257479047812</v>
      </c>
      <c r="S62" s="3">
        <f t="shared" si="27"/>
        <v>115.18988017634217</v>
      </c>
      <c r="T62" s="1">
        <f t="shared" si="20"/>
        <v>98</v>
      </c>
      <c r="U62" s="1">
        <f t="shared" si="8"/>
        <v>42.6</v>
      </c>
      <c r="V62" s="1" t="str">
        <f t="shared" si="3"/>
        <v/>
      </c>
      <c r="W62" s="1" t="str">
        <f t="shared" si="28"/>
        <v/>
      </c>
      <c r="X62" s="1">
        <f t="shared" si="29"/>
        <v>40</v>
      </c>
      <c r="Y62" s="4">
        <f t="shared" si="10"/>
        <v>16.526156995173455</v>
      </c>
    </row>
    <row r="63" spans="1:25" x14ac:dyDescent="0.25">
      <c r="A63" s="1" t="s">
        <v>39</v>
      </c>
      <c r="B63" s="1">
        <v>6</v>
      </c>
      <c r="C63" s="1" t="s">
        <v>3</v>
      </c>
      <c r="D63" s="2">
        <v>2325140</v>
      </c>
      <c r="E63" s="2">
        <v>5352669</v>
      </c>
      <c r="F63" s="2">
        <v>7016619</v>
      </c>
      <c r="G63" s="1">
        <v>25.4</v>
      </c>
      <c r="H63" s="2">
        <v>1359577.926</v>
      </c>
      <c r="I63" s="2">
        <v>653288.96299999999</v>
      </c>
      <c r="J63" s="2">
        <v>706288.96299999999</v>
      </c>
      <c r="K63" s="2">
        <f t="shared" si="7"/>
        <v>6240</v>
      </c>
      <c r="L63" s="2">
        <v>0</v>
      </c>
      <c r="M63" s="2">
        <v>6240</v>
      </c>
      <c r="N63" s="2">
        <v>0</v>
      </c>
      <c r="O63" s="2">
        <v>5352669</v>
      </c>
      <c r="P63" s="4">
        <v>0.45896596882523966</v>
      </c>
      <c r="Q63" s="4">
        <v>0</v>
      </c>
      <c r="R63" s="4">
        <v>1.1775945049454695</v>
      </c>
      <c r="S63" s="3">
        <f t="shared" si="27"/>
        <v>131.08636084166611</v>
      </c>
      <c r="T63" s="1">
        <f t="shared" si="20"/>
        <v>100</v>
      </c>
      <c r="U63" s="1">
        <f t="shared" si="8"/>
        <v>43</v>
      </c>
      <c r="V63" s="1" t="str">
        <f t="shared" si="3"/>
        <v/>
      </c>
      <c r="W63" s="1" t="str">
        <f t="shared" si="28"/>
        <v/>
      </c>
      <c r="X63" s="1">
        <f t="shared" si="29"/>
        <v>40</v>
      </c>
      <c r="Y63" s="4">
        <f t="shared" si="10"/>
        <v>0.11657735608161088</v>
      </c>
    </row>
    <row r="64" spans="1:25" x14ac:dyDescent="0.25">
      <c r="A64" s="1" t="s">
        <v>39</v>
      </c>
      <c r="B64" s="1">
        <v>7</v>
      </c>
      <c r="C64" s="1" t="s">
        <v>4</v>
      </c>
      <c r="D64" s="2">
        <v>2325140</v>
      </c>
      <c r="E64" s="2">
        <v>3986456</v>
      </c>
      <c r="F64" s="2">
        <v>11076882</v>
      </c>
      <c r="G64" s="1">
        <v>30</v>
      </c>
      <c r="H64" s="2">
        <v>1195936.8</v>
      </c>
      <c r="I64" s="2">
        <v>571468.4</v>
      </c>
      <c r="J64" s="2">
        <v>624468.4</v>
      </c>
      <c r="K64" s="2">
        <f t="shared" si="7"/>
        <v>1308344</v>
      </c>
      <c r="L64" s="2">
        <v>683095</v>
      </c>
      <c r="M64" s="2">
        <v>625249</v>
      </c>
      <c r="N64" s="2">
        <v>39969</v>
      </c>
      <c r="O64" s="2">
        <v>5352669</v>
      </c>
      <c r="P64" s="4">
        <v>109.39909199215209</v>
      </c>
      <c r="Q64" s="4">
        <v>119.533293529441</v>
      </c>
      <c r="R64" s="4">
        <v>100.12500232197496</v>
      </c>
      <c r="S64" s="3">
        <f t="shared" si="27"/>
        <v>277.8628937582655</v>
      </c>
      <c r="T64" s="1">
        <f t="shared" si="20"/>
        <v>74.5</v>
      </c>
      <c r="U64" s="1">
        <f t="shared" si="8"/>
        <v>37.5</v>
      </c>
      <c r="V64" s="1" t="str">
        <f t="shared" si="3"/>
        <v/>
      </c>
      <c r="W64" s="1" t="str">
        <f t="shared" si="28"/>
        <v/>
      </c>
      <c r="X64" s="1">
        <f t="shared" si="29"/>
        <v>37.5</v>
      </c>
      <c r="Y64" s="4">
        <f t="shared" si="10"/>
        <v>32.819727597645624</v>
      </c>
    </row>
    <row r="65" spans="1:25" x14ac:dyDescent="0.25">
      <c r="A65" s="1" t="s">
        <v>39</v>
      </c>
      <c r="B65" s="1">
        <v>8</v>
      </c>
      <c r="C65" s="1" t="s">
        <v>5</v>
      </c>
      <c r="D65" s="2">
        <v>2198582</v>
      </c>
      <c r="E65" s="2">
        <v>5319346</v>
      </c>
      <c r="F65" s="2">
        <v>9099346</v>
      </c>
      <c r="G65" s="1">
        <v>30</v>
      </c>
      <c r="H65" s="2">
        <v>1595803.8</v>
      </c>
      <c r="I65" s="2">
        <v>797901.9</v>
      </c>
      <c r="J65" s="2">
        <v>797901.9</v>
      </c>
      <c r="K65" s="2">
        <f t="shared" si="7"/>
        <v>1485004</v>
      </c>
      <c r="L65" s="2">
        <v>710768</v>
      </c>
      <c r="M65" s="2">
        <v>774236</v>
      </c>
      <c r="N65" s="2">
        <v>40426</v>
      </c>
      <c r="O65" s="2">
        <v>5352669</v>
      </c>
      <c r="P65" s="4">
        <v>93.056803098225487</v>
      </c>
      <c r="Q65" s="4">
        <v>89.079622444814333</v>
      </c>
      <c r="R65" s="4">
        <v>97.033983751636626</v>
      </c>
      <c r="S65" s="3">
        <f t="shared" si="27"/>
        <v>171.06136731846357</v>
      </c>
      <c r="T65" s="1">
        <f t="shared" si="20"/>
        <v>99.4</v>
      </c>
      <c r="U65" s="1">
        <f t="shared" si="8"/>
        <v>42.9</v>
      </c>
      <c r="V65" s="1" t="str">
        <f t="shared" si="3"/>
        <v/>
      </c>
      <c r="W65" s="1" t="str">
        <f t="shared" si="28"/>
        <v/>
      </c>
      <c r="X65" s="1">
        <f t="shared" si="29"/>
        <v>40</v>
      </c>
      <c r="Y65" s="4">
        <f t="shared" si="10"/>
        <v>27.917040929467646</v>
      </c>
    </row>
    <row r="66" spans="1:25" x14ac:dyDescent="0.25">
      <c r="A66" s="1" t="s">
        <v>39</v>
      </c>
      <c r="B66" s="1">
        <v>9</v>
      </c>
      <c r="C66" s="1" t="s">
        <v>6</v>
      </c>
      <c r="D66" s="2">
        <v>2198582</v>
      </c>
      <c r="E66" s="2">
        <v>4592593</v>
      </c>
      <c r="F66" s="2">
        <v>3433757</v>
      </c>
      <c r="G66" s="1">
        <v>30</v>
      </c>
      <c r="H66" s="2">
        <v>1377777.9</v>
      </c>
      <c r="I66" s="2">
        <v>688888.95</v>
      </c>
      <c r="J66" s="2">
        <v>688888.95</v>
      </c>
      <c r="K66" s="2">
        <f t="shared" si="7"/>
        <v>1324586</v>
      </c>
      <c r="L66" s="2">
        <v>796213</v>
      </c>
      <c r="M66" s="2">
        <v>528373</v>
      </c>
      <c r="N66" s="2">
        <v>44291</v>
      </c>
      <c r="O66" s="2">
        <v>5352669</v>
      </c>
      <c r="P66" s="4">
        <v>96.139297923126804</v>
      </c>
      <c r="Q66" s="4">
        <v>115.57929619861082</v>
      </c>
      <c r="R66" s="4">
        <v>76.699299647642789</v>
      </c>
      <c r="S66" s="3">
        <f t="shared" si="27"/>
        <v>74.76728288354748</v>
      </c>
      <c r="T66" s="1">
        <f t="shared" si="20"/>
        <v>85.8</v>
      </c>
      <c r="U66" s="1" t="str">
        <f t="shared" si="8"/>
        <v/>
      </c>
      <c r="V66" s="1" t="str">
        <f t="shared" si="3"/>
        <v/>
      </c>
      <c r="W66" s="1">
        <f t="shared" si="28"/>
        <v>24.32</v>
      </c>
      <c r="X66" s="1">
        <f t="shared" si="29"/>
        <v>24.32</v>
      </c>
      <c r="Y66" s="4">
        <f t="shared" si="10"/>
        <v>28.841789376938038</v>
      </c>
    </row>
    <row r="67" spans="1:25" x14ac:dyDescent="0.25">
      <c r="A67" s="1" t="s">
        <v>39</v>
      </c>
      <c r="B67" s="1">
        <v>10</v>
      </c>
      <c r="C67" s="1" t="s">
        <v>7</v>
      </c>
      <c r="D67" s="2">
        <v>2198582</v>
      </c>
      <c r="E67" s="2">
        <v>4106309</v>
      </c>
      <c r="F67" s="2">
        <v>5346828</v>
      </c>
      <c r="G67" s="1">
        <v>30</v>
      </c>
      <c r="H67" s="2">
        <v>1231892.7</v>
      </c>
      <c r="I67" s="2">
        <v>615946.35</v>
      </c>
      <c r="J67" s="2">
        <v>615946.35</v>
      </c>
      <c r="K67" s="2">
        <f t="shared" ref="K67:K130" si="30">L67+M67</f>
        <v>1269281</v>
      </c>
      <c r="L67" s="2">
        <v>708862</v>
      </c>
      <c r="M67" s="2">
        <v>560419</v>
      </c>
      <c r="N67" s="2">
        <v>42967</v>
      </c>
      <c r="O67" s="2">
        <v>5352669</v>
      </c>
      <c r="P67" s="4">
        <v>103.03502894367342</v>
      </c>
      <c r="Q67" s="4">
        <v>115.08502323294879</v>
      </c>
      <c r="R67" s="4">
        <v>90.985034654398063</v>
      </c>
      <c r="S67" s="3">
        <f t="shared" si="27"/>
        <v>130.21007430273755</v>
      </c>
      <c r="T67" s="1">
        <f t="shared" si="20"/>
        <v>76.7</v>
      </c>
      <c r="U67" s="1">
        <f t="shared" si="8"/>
        <v>38</v>
      </c>
      <c r="V67" s="1" t="str">
        <f t="shared" si="3"/>
        <v/>
      </c>
      <c r="W67" s="1" t="str">
        <f t="shared" si="28"/>
        <v/>
      </c>
      <c r="X67" s="1">
        <f t="shared" si="29"/>
        <v>38</v>
      </c>
      <c r="Y67" s="4">
        <f t="shared" ref="Y67:Y130" si="31">K67/E67*100</f>
        <v>30.910508683102027</v>
      </c>
    </row>
    <row r="68" spans="1:25" x14ac:dyDescent="0.25">
      <c r="A68" s="1" t="s">
        <v>39</v>
      </c>
      <c r="B68" s="1">
        <v>11</v>
      </c>
      <c r="C68" s="1" t="s">
        <v>8</v>
      </c>
      <c r="D68" s="2">
        <v>2198582</v>
      </c>
      <c r="E68" s="2">
        <v>2503092</v>
      </c>
      <c r="F68" s="2">
        <v>2927413</v>
      </c>
      <c r="G68" s="1">
        <v>30</v>
      </c>
      <c r="H68" s="2">
        <v>750927.6</v>
      </c>
      <c r="I68" s="2">
        <v>375463.8</v>
      </c>
      <c r="J68" s="2">
        <v>375463.8</v>
      </c>
      <c r="K68" s="2">
        <f t="shared" si="30"/>
        <v>840567</v>
      </c>
      <c r="L68" s="2">
        <v>445267</v>
      </c>
      <c r="M68" s="2">
        <v>395300</v>
      </c>
      <c r="N68" s="2">
        <v>22248</v>
      </c>
      <c r="O68" s="2">
        <v>5352669</v>
      </c>
      <c r="P68" s="4">
        <v>111.93715612530424</v>
      </c>
      <c r="Q68" s="4">
        <v>118.59119307906647</v>
      </c>
      <c r="R68" s="4">
        <v>105.28311917154198</v>
      </c>
      <c r="S68" s="3">
        <f t="shared" si="27"/>
        <v>116.95187392233287</v>
      </c>
      <c r="T68" s="1">
        <f t="shared" si="20"/>
        <v>46.800000000000004</v>
      </c>
      <c r="U68" s="1">
        <f t="shared" si="8"/>
        <v>31.5</v>
      </c>
      <c r="V68" s="1" t="str">
        <f t="shared" si="3"/>
        <v/>
      </c>
      <c r="W68" s="1" t="str">
        <f t="shared" si="28"/>
        <v/>
      </c>
      <c r="X68" s="1">
        <f t="shared" si="29"/>
        <v>31.5</v>
      </c>
      <c r="Y68" s="4">
        <f t="shared" si="31"/>
        <v>33.58114683759127</v>
      </c>
    </row>
    <row r="69" spans="1:25" x14ac:dyDescent="0.25">
      <c r="A69" s="1" t="s">
        <v>39</v>
      </c>
      <c r="B69" s="1">
        <v>12</v>
      </c>
      <c r="C69" s="1" t="s">
        <v>9</v>
      </c>
      <c r="D69" s="2">
        <v>2198582</v>
      </c>
      <c r="E69" s="2">
        <v>4678093</v>
      </c>
      <c r="F69" s="2">
        <v>5058265</v>
      </c>
      <c r="G69" s="1">
        <v>30</v>
      </c>
      <c r="H69" s="2">
        <v>1403427.9</v>
      </c>
      <c r="I69" s="2">
        <v>701713.95</v>
      </c>
      <c r="J69" s="2">
        <v>701713.95</v>
      </c>
      <c r="K69" s="2">
        <f t="shared" si="30"/>
        <v>1439178</v>
      </c>
      <c r="L69" s="2">
        <v>825749</v>
      </c>
      <c r="M69" s="2">
        <v>613429</v>
      </c>
      <c r="N69" s="2">
        <v>44211</v>
      </c>
      <c r="O69" s="2">
        <v>5352669</v>
      </c>
      <c r="P69" s="4">
        <v>102.54734140599599</v>
      </c>
      <c r="Q69" s="4">
        <v>117.6760131389721</v>
      </c>
      <c r="R69" s="4">
        <v>87.418669673019906</v>
      </c>
      <c r="S69" s="3">
        <f t="shared" si="27"/>
        <v>108.12664476742981</v>
      </c>
      <c r="T69" s="1">
        <f t="shared" si="20"/>
        <v>87.4</v>
      </c>
      <c r="U69" s="1">
        <f t="shared" si="8"/>
        <v>40.299999999999997</v>
      </c>
      <c r="V69" s="1" t="str">
        <f t="shared" si="3"/>
        <v/>
      </c>
      <c r="W69" s="1" t="str">
        <f t="shared" si="28"/>
        <v/>
      </c>
      <c r="X69" s="1">
        <f t="shared" si="29"/>
        <v>40</v>
      </c>
      <c r="Y69" s="4">
        <f t="shared" si="31"/>
        <v>30.764202421798796</v>
      </c>
    </row>
    <row r="70" spans="1:25" x14ac:dyDescent="0.25">
      <c r="A70" s="1" t="s">
        <v>39</v>
      </c>
      <c r="B70" s="1">
        <v>13</v>
      </c>
      <c r="C70" s="1" t="s">
        <v>10</v>
      </c>
      <c r="D70" s="2">
        <v>2198582</v>
      </c>
      <c r="E70" s="2">
        <v>4197541</v>
      </c>
      <c r="F70" s="2">
        <v>1414149</v>
      </c>
      <c r="G70" s="1">
        <v>30</v>
      </c>
      <c r="H70" s="2">
        <v>1259262.3</v>
      </c>
      <c r="I70" s="2">
        <v>629631.15</v>
      </c>
      <c r="J70" s="2">
        <v>629631.15</v>
      </c>
      <c r="K70" s="2">
        <f t="shared" si="30"/>
        <v>1040868</v>
      </c>
      <c r="L70" s="2">
        <v>496303</v>
      </c>
      <c r="M70" s="2">
        <v>544565</v>
      </c>
      <c r="N70" s="2">
        <v>37092</v>
      </c>
      <c r="O70" s="2">
        <v>5352669</v>
      </c>
      <c r="P70" s="4">
        <v>91.198950369593362</v>
      </c>
      <c r="Q70" s="4">
        <v>95.908374291837376</v>
      </c>
      <c r="R70" s="4">
        <v>86.489526447349377</v>
      </c>
      <c r="S70" s="3">
        <f t="shared" si="27"/>
        <v>33.689938942823908</v>
      </c>
      <c r="T70" s="1">
        <f t="shared" si="20"/>
        <v>78.400000000000006</v>
      </c>
      <c r="U70" s="1" t="str">
        <f t="shared" si="8"/>
        <v/>
      </c>
      <c r="V70" s="1" t="str">
        <f t="shared" si="3"/>
        <v/>
      </c>
      <c r="W70" s="1">
        <f t="shared" si="28"/>
        <v>21.360000000000003</v>
      </c>
      <c r="X70" s="1">
        <f t="shared" si="29"/>
        <v>21.360000000000003</v>
      </c>
      <c r="Y70" s="4">
        <f t="shared" si="31"/>
        <v>24.797089534086741</v>
      </c>
    </row>
    <row r="71" spans="1:25" x14ac:dyDescent="0.25">
      <c r="A71" s="1" t="s">
        <v>39</v>
      </c>
      <c r="B71" s="1">
        <v>14</v>
      </c>
      <c r="C71" s="1" t="s">
        <v>11</v>
      </c>
      <c r="D71" s="2">
        <v>2198582</v>
      </c>
      <c r="E71" s="2">
        <v>3637245</v>
      </c>
      <c r="F71" s="2">
        <v>18064334</v>
      </c>
      <c r="G71" s="1">
        <v>30</v>
      </c>
      <c r="H71" s="2">
        <v>1091173.5</v>
      </c>
      <c r="I71" s="2">
        <v>545586.75</v>
      </c>
      <c r="J71" s="2">
        <v>545586.75</v>
      </c>
      <c r="K71" s="2">
        <f t="shared" si="30"/>
        <v>1042507</v>
      </c>
      <c r="L71" s="2">
        <v>531766</v>
      </c>
      <c r="M71" s="2">
        <v>510741</v>
      </c>
      <c r="N71" s="2">
        <v>37749</v>
      </c>
      <c r="O71" s="2">
        <v>5352669</v>
      </c>
      <c r="P71" s="4">
        <v>109.37994736858987</v>
      </c>
      <c r="Q71" s="4">
        <v>125.14673422695842</v>
      </c>
      <c r="R71" s="4">
        <v>93.613160510221334</v>
      </c>
      <c r="S71" s="3">
        <f t="shared" si="27"/>
        <v>496.64880974473806</v>
      </c>
      <c r="T71" s="1">
        <f t="shared" si="20"/>
        <v>68</v>
      </c>
      <c r="U71" s="1">
        <f t="shared" si="8"/>
        <v>36.1</v>
      </c>
      <c r="V71" s="1" t="str">
        <f t="shared" si="3"/>
        <v/>
      </c>
      <c r="W71" s="1" t="str">
        <f t="shared" si="28"/>
        <v/>
      </c>
      <c r="X71" s="1">
        <f t="shared" si="29"/>
        <v>36.1</v>
      </c>
      <c r="Y71" s="4">
        <f t="shared" si="31"/>
        <v>28.661995548828852</v>
      </c>
    </row>
    <row r="72" spans="1:25" x14ac:dyDescent="0.25">
      <c r="A72" s="1" t="s">
        <v>39</v>
      </c>
      <c r="B72" s="1">
        <v>15</v>
      </c>
      <c r="C72" s="1" t="s">
        <v>12</v>
      </c>
      <c r="D72" s="2">
        <v>2180922</v>
      </c>
      <c r="E72" s="2">
        <v>4038871</v>
      </c>
      <c r="F72" s="2">
        <v>8211210.5730928807</v>
      </c>
      <c r="G72" s="1">
        <v>30</v>
      </c>
      <c r="H72" s="2">
        <v>1211661.3</v>
      </c>
      <c r="I72" s="2">
        <v>605830.65</v>
      </c>
      <c r="J72" s="2">
        <v>605830.65</v>
      </c>
      <c r="K72" s="2">
        <f t="shared" si="30"/>
        <v>1214526</v>
      </c>
      <c r="L72" s="2">
        <v>597700</v>
      </c>
      <c r="M72" s="2">
        <v>616826</v>
      </c>
      <c r="N72" s="2">
        <v>44002</v>
      </c>
      <c r="O72" s="2">
        <v>5352669</v>
      </c>
      <c r="P72" s="4">
        <v>113.50176819215072</v>
      </c>
      <c r="Q72" s="4">
        <v>125.18861500321914</v>
      </c>
      <c r="R72" s="4">
        <v>101.81492138108233</v>
      </c>
      <c r="S72" s="3">
        <f t="shared" si="27"/>
        <v>203.3046010405601</v>
      </c>
      <c r="T72" s="1">
        <f t="shared" si="20"/>
        <v>75.5</v>
      </c>
      <c r="U72" s="1">
        <f t="shared" si="8"/>
        <v>37.700000000000003</v>
      </c>
      <c r="V72" s="1" t="str">
        <f t="shared" ref="V72:V82" si="32">IF(AND(S72&gt;=100,T72&gt;=10,T72&lt;=40),ROUND(30*((T72-10)/(40-10)),1),"")</f>
        <v/>
      </c>
      <c r="W72" s="1" t="str">
        <f t="shared" si="28"/>
        <v/>
      </c>
      <c r="X72" s="1">
        <f t="shared" si="29"/>
        <v>37.700000000000003</v>
      </c>
      <c r="Y72" s="4">
        <f t="shared" si="31"/>
        <v>30.070928237123688</v>
      </c>
    </row>
    <row r="73" spans="1:25" x14ac:dyDescent="0.25">
      <c r="A73" s="1" t="s">
        <v>39</v>
      </c>
      <c r="B73" s="1">
        <v>16</v>
      </c>
      <c r="C73" s="1" t="s">
        <v>13</v>
      </c>
      <c r="D73" s="2">
        <v>2180922</v>
      </c>
      <c r="E73" s="2">
        <v>6064449</v>
      </c>
      <c r="F73" s="2">
        <v>10276881</v>
      </c>
      <c r="G73" s="1">
        <v>39.1</v>
      </c>
      <c r="H73" s="2">
        <v>1819334.7</v>
      </c>
      <c r="I73" s="2">
        <v>909667.35</v>
      </c>
      <c r="J73" s="2">
        <v>909667.35</v>
      </c>
      <c r="K73" s="2">
        <f t="shared" si="30"/>
        <v>1803289</v>
      </c>
      <c r="L73" s="2">
        <v>764726</v>
      </c>
      <c r="M73" s="2">
        <v>1038563</v>
      </c>
      <c r="N73" s="2">
        <v>51738</v>
      </c>
      <c r="O73" s="2">
        <v>5352669</v>
      </c>
      <c r="P73" s="4">
        <v>99.168118983274496</v>
      </c>
      <c r="Q73" s="4">
        <v>84.166701157296671</v>
      </c>
      <c r="R73" s="4">
        <v>114.16953680925231</v>
      </c>
      <c r="S73" s="3">
        <f t="shared" ref="S73:S75" si="33">F73/E73*100</f>
        <v>169.46108376869853</v>
      </c>
      <c r="T73" s="1">
        <f t="shared" si="20"/>
        <v>113.3</v>
      </c>
      <c r="U73" s="1">
        <f t="shared" ref="U73:U82" si="34">IF(AND(T73&gt;40,S73&gt;=100),ROUND(30+13*((T73-40)/(100-40)),1),"")</f>
        <v>45.9</v>
      </c>
      <c r="V73" s="1" t="str">
        <f t="shared" si="32"/>
        <v/>
      </c>
      <c r="W73" s="1" t="str">
        <f t="shared" si="28"/>
        <v/>
      </c>
      <c r="X73" s="1">
        <f t="shared" si="29"/>
        <v>40</v>
      </c>
      <c r="Y73" s="4">
        <f t="shared" si="31"/>
        <v>29.735413720191232</v>
      </c>
    </row>
    <row r="74" spans="1:25" x14ac:dyDescent="0.25">
      <c r="A74" s="1" t="s">
        <v>39</v>
      </c>
      <c r="B74" s="1">
        <v>17</v>
      </c>
      <c r="C74" s="1" t="s">
        <v>14</v>
      </c>
      <c r="D74" s="2">
        <v>2180922</v>
      </c>
      <c r="E74" s="2">
        <v>11935249</v>
      </c>
      <c r="F74" s="2">
        <v>6663172.1884715604</v>
      </c>
      <c r="G74" s="1">
        <v>40</v>
      </c>
      <c r="H74" s="2">
        <v>4177337.15</v>
      </c>
      <c r="I74" s="2">
        <v>2088668.575</v>
      </c>
      <c r="J74" s="2">
        <v>2088668.575</v>
      </c>
      <c r="K74" s="2">
        <f t="shared" si="30"/>
        <v>2931256.3920372082</v>
      </c>
      <c r="L74" s="2">
        <v>1044692.3920372081</v>
      </c>
      <c r="M74" s="2">
        <v>1886564</v>
      </c>
      <c r="N74" s="2">
        <v>74735.910872243505</v>
      </c>
      <c r="O74" s="2">
        <v>5352669</v>
      </c>
      <c r="P74" s="4">
        <v>70.170443388798532</v>
      </c>
      <c r="Q74" s="4">
        <v>50.017126340879628</v>
      </c>
      <c r="R74" s="4">
        <v>90.32376043671745</v>
      </c>
      <c r="S74" s="3">
        <f t="shared" si="33"/>
        <v>55.827676393442317</v>
      </c>
      <c r="T74" s="1">
        <f t="shared" si="20"/>
        <v>223</v>
      </c>
      <c r="U74" s="1" t="str">
        <f t="shared" si="34"/>
        <v/>
      </c>
      <c r="V74" s="1" t="str">
        <f t="shared" si="32"/>
        <v/>
      </c>
      <c r="W74" s="1">
        <f t="shared" si="28"/>
        <v>79.2</v>
      </c>
      <c r="X74" s="1">
        <f t="shared" si="29"/>
        <v>40</v>
      </c>
      <c r="Y74" s="4">
        <f t="shared" si="31"/>
        <v>24.559658470780192</v>
      </c>
    </row>
    <row r="75" spans="1:25" x14ac:dyDescent="0.25">
      <c r="A75" s="1" t="s">
        <v>39</v>
      </c>
      <c r="B75" s="1">
        <v>18</v>
      </c>
      <c r="C75" s="1" t="s">
        <v>15</v>
      </c>
      <c r="D75" s="2">
        <v>2180922</v>
      </c>
      <c r="E75" s="2">
        <v>11201544</v>
      </c>
      <c r="F75" s="2">
        <v>12981705</v>
      </c>
      <c r="G75" s="1">
        <v>40</v>
      </c>
      <c r="H75" s="2">
        <v>4480617.6000000006</v>
      </c>
      <c r="I75" s="2">
        <v>2240308.8000000003</v>
      </c>
      <c r="J75" s="2">
        <v>2240308.8000000003</v>
      </c>
      <c r="K75" s="2">
        <f t="shared" si="30"/>
        <v>1756090</v>
      </c>
      <c r="L75" s="2">
        <v>831281</v>
      </c>
      <c r="M75" s="2">
        <v>924809</v>
      </c>
      <c r="N75" s="2">
        <v>58739</v>
      </c>
      <c r="O75" s="2">
        <v>5352669</v>
      </c>
      <c r="P75" s="4">
        <v>39.193034460249407</v>
      </c>
      <c r="Q75" s="4">
        <v>37.10564365055388</v>
      </c>
      <c r="R75" s="4">
        <v>41.280425269944928</v>
      </c>
      <c r="S75" s="3">
        <f t="shared" si="33"/>
        <v>115.89210380283291</v>
      </c>
      <c r="T75" s="1">
        <f t="shared" si="20"/>
        <v>209.3</v>
      </c>
      <c r="U75" s="1">
        <f t="shared" si="34"/>
        <v>66.7</v>
      </c>
      <c r="V75" s="1" t="str">
        <f t="shared" si="32"/>
        <v/>
      </c>
      <c r="W75" s="1" t="str">
        <f t="shared" si="28"/>
        <v/>
      </c>
      <c r="X75" s="1">
        <f t="shared" si="29"/>
        <v>40</v>
      </c>
      <c r="Y75" s="4">
        <f t="shared" si="31"/>
        <v>15.677213784099763</v>
      </c>
    </row>
    <row r="76" spans="1:25" x14ac:dyDescent="0.25">
      <c r="A76" s="1" t="s">
        <v>39</v>
      </c>
      <c r="B76" s="1">
        <v>19</v>
      </c>
      <c r="C76" s="1" t="s">
        <v>16</v>
      </c>
      <c r="D76" s="2">
        <v>2180922</v>
      </c>
      <c r="E76" s="2">
        <v>8475370</v>
      </c>
      <c r="F76" s="2">
        <v>5475844</v>
      </c>
      <c r="G76" s="1">
        <v>40</v>
      </c>
      <c r="H76" s="2">
        <v>3390148</v>
      </c>
      <c r="I76" s="2">
        <v>1695074</v>
      </c>
      <c r="J76" s="2">
        <v>1695074</v>
      </c>
      <c r="K76" s="2">
        <f t="shared" si="30"/>
        <v>1976762</v>
      </c>
      <c r="L76" s="2">
        <v>992831</v>
      </c>
      <c r="M76" s="2">
        <v>983931</v>
      </c>
      <c r="N76" s="2">
        <v>70747</v>
      </c>
      <c r="O76" s="2">
        <v>5352669</v>
      </c>
      <c r="P76" s="4">
        <v>58.30902245074352</v>
      </c>
      <c r="Q76" s="4">
        <v>58.571552535961978</v>
      </c>
      <c r="R76" s="4">
        <v>58.046492365525047</v>
      </c>
      <c r="S76" s="3">
        <f>F76/E76*100</f>
        <v>64.608907929683298</v>
      </c>
      <c r="T76" s="1">
        <f t="shared" si="20"/>
        <v>158.29999999999998</v>
      </c>
      <c r="U76" s="1" t="str">
        <f t="shared" si="34"/>
        <v/>
      </c>
      <c r="V76" s="1" t="str">
        <f t="shared" si="32"/>
        <v/>
      </c>
      <c r="W76" s="1">
        <f t="shared" si="28"/>
        <v>53.319999999999993</v>
      </c>
      <c r="X76" s="1">
        <f t="shared" si="29"/>
        <v>40</v>
      </c>
      <c r="Y76" s="4">
        <f t="shared" si="31"/>
        <v>23.32360711095799</v>
      </c>
    </row>
    <row r="77" spans="1:25" x14ac:dyDescent="0.25">
      <c r="A77" s="1" t="s">
        <v>39</v>
      </c>
      <c r="B77" s="1">
        <v>20</v>
      </c>
      <c r="C77" s="1" t="s">
        <v>17</v>
      </c>
      <c r="D77" s="2">
        <v>2180922</v>
      </c>
      <c r="E77" s="2">
        <v>4893086.9626009008</v>
      </c>
      <c r="F77" s="2">
        <v>975023.39016357611</v>
      </c>
      <c r="G77" s="1">
        <v>38.5</v>
      </c>
      <c r="H77" s="2">
        <v>1883838.4806013468</v>
      </c>
      <c r="I77" s="2">
        <v>941919.24030067341</v>
      </c>
      <c r="J77" s="2">
        <v>941919.24030067341</v>
      </c>
      <c r="K77" s="2">
        <f t="shared" si="30"/>
        <v>1072332.0866929339</v>
      </c>
      <c r="L77" s="2">
        <v>686628.08669293381</v>
      </c>
      <c r="M77" s="2">
        <v>385704</v>
      </c>
      <c r="N77" s="2">
        <v>82294.071758588179</v>
      </c>
      <c r="O77" s="2">
        <v>5352669</v>
      </c>
      <c r="P77" s="4">
        <v>57.955422420329818</v>
      </c>
      <c r="Q77" s="4">
        <v>74.962111287146286</v>
      </c>
      <c r="R77" s="4">
        <v>40.948733553513364</v>
      </c>
      <c r="S77" s="3">
        <f t="shared" ref="S77:S83" si="35">F77/E77*100</f>
        <v>19.926549387246254</v>
      </c>
      <c r="T77" s="1">
        <f t="shared" ref="T77:T84" si="36">ROUND(E77/O77,3)*100</f>
        <v>91.4</v>
      </c>
      <c r="U77" s="1" t="str">
        <f t="shared" si="34"/>
        <v/>
      </c>
      <c r="V77" s="1" t="str">
        <f t="shared" si="32"/>
        <v/>
      </c>
      <c r="W77" s="1">
        <f t="shared" si="28"/>
        <v>26.560000000000002</v>
      </c>
      <c r="X77" s="1">
        <f t="shared" si="29"/>
        <v>26.560000000000002</v>
      </c>
      <c r="Y77" s="4">
        <f t="shared" si="31"/>
        <v>21.915246855186489</v>
      </c>
    </row>
    <row r="78" spans="1:25" x14ac:dyDescent="0.25">
      <c r="A78" s="1" t="s">
        <v>39</v>
      </c>
      <c r="B78" s="1">
        <v>21</v>
      </c>
      <c r="C78" s="1" t="s">
        <v>18</v>
      </c>
      <c r="D78" s="2">
        <v>2180922</v>
      </c>
      <c r="E78" s="2">
        <v>4253303.4578075456</v>
      </c>
      <c r="F78" s="2">
        <v>11427124.48278621</v>
      </c>
      <c r="G78" s="1">
        <v>36.6</v>
      </c>
      <c r="H78" s="2">
        <v>1556709.0655575616</v>
      </c>
      <c r="I78" s="2">
        <v>778354.53277878079</v>
      </c>
      <c r="J78" s="2">
        <v>778354.53277878079</v>
      </c>
      <c r="K78" s="2">
        <f t="shared" si="30"/>
        <v>889661.92332819349</v>
      </c>
      <c r="L78" s="2">
        <v>164124.92332819352</v>
      </c>
      <c r="M78" s="2">
        <v>725537</v>
      </c>
      <c r="N78" s="2">
        <v>63215.266089019206</v>
      </c>
      <c r="O78" s="2">
        <v>5352669</v>
      </c>
      <c r="P78" s="4">
        <v>97.458608905615137</v>
      </c>
      <c r="Q78" s="4">
        <v>101.70301150221303</v>
      </c>
      <c r="R78" s="4">
        <v>93.214206309017243</v>
      </c>
      <c r="S78" s="3">
        <f t="shared" si="35"/>
        <v>268.66468842729978</v>
      </c>
      <c r="T78" s="1">
        <f t="shared" si="36"/>
        <v>79.5</v>
      </c>
      <c r="U78" s="1">
        <f t="shared" si="34"/>
        <v>38.6</v>
      </c>
      <c r="V78" s="1" t="str">
        <f t="shared" si="32"/>
        <v/>
      </c>
      <c r="W78" s="1" t="str">
        <f t="shared" si="28"/>
        <v/>
      </c>
      <c r="X78" s="1">
        <f t="shared" si="29"/>
        <v>38.6</v>
      </c>
      <c r="Y78" s="4">
        <f t="shared" si="31"/>
        <v>20.916963300492753</v>
      </c>
    </row>
    <row r="79" spans="1:25" x14ac:dyDescent="0.25">
      <c r="A79" s="1" t="s">
        <v>39</v>
      </c>
      <c r="B79" s="1">
        <v>22</v>
      </c>
      <c r="C79" s="1" t="s">
        <v>19</v>
      </c>
      <c r="D79" s="2">
        <v>2180922</v>
      </c>
      <c r="E79" s="2">
        <v>7543871</v>
      </c>
      <c r="F79" s="2">
        <v>6947903.7196529806</v>
      </c>
      <c r="G79" s="1">
        <v>40</v>
      </c>
      <c r="H79" s="2">
        <v>3017548.4000000004</v>
      </c>
      <c r="I79" s="2">
        <v>3852458.0043358323</v>
      </c>
      <c r="J79" s="2">
        <v>3852458.0043358323</v>
      </c>
      <c r="K79" s="2">
        <f t="shared" si="30"/>
        <v>2591402.9905536361</v>
      </c>
      <c r="L79" s="2">
        <v>1082628.9905536359</v>
      </c>
      <c r="M79" s="2">
        <v>1508774</v>
      </c>
      <c r="N79" s="2">
        <v>78826.108236926724</v>
      </c>
      <c r="O79" s="2">
        <v>5352669</v>
      </c>
      <c r="P79" s="4">
        <v>34.458610541787408</v>
      </c>
      <c r="Q79" s="4">
        <v>29.753289943977251</v>
      </c>
      <c r="R79" s="4">
        <v>39.163931139597565</v>
      </c>
      <c r="S79" s="3">
        <f t="shared" si="35"/>
        <v>92.099980496127003</v>
      </c>
      <c r="T79" s="1">
        <f t="shared" si="36"/>
        <v>140.9</v>
      </c>
      <c r="U79" s="1" t="str">
        <f t="shared" si="34"/>
        <v/>
      </c>
      <c r="V79" s="1" t="str">
        <f t="shared" si="32"/>
        <v/>
      </c>
      <c r="W79" s="1">
        <f t="shared" si="28"/>
        <v>46.36</v>
      </c>
      <c r="X79" s="1">
        <f t="shared" si="29"/>
        <v>40</v>
      </c>
      <c r="Y79" s="4">
        <f t="shared" si="31"/>
        <v>34.351104234863456</v>
      </c>
    </row>
    <row r="80" spans="1:25" x14ac:dyDescent="0.25">
      <c r="A80" s="1" t="s">
        <v>39</v>
      </c>
      <c r="B80" s="1">
        <v>23</v>
      </c>
      <c r="C80" s="1" t="s">
        <v>20</v>
      </c>
      <c r="D80" s="2">
        <v>2180922</v>
      </c>
      <c r="E80" s="2">
        <v>8249452</v>
      </c>
      <c r="F80" s="2">
        <v>7500707</v>
      </c>
      <c r="G80" s="1">
        <v>40</v>
      </c>
      <c r="H80" s="2">
        <v>3299780.8000000003</v>
      </c>
      <c r="I80" s="2">
        <v>1649890.4000000001</v>
      </c>
      <c r="J80" s="2">
        <v>1649890.4000000001</v>
      </c>
      <c r="K80" s="2">
        <f t="shared" si="30"/>
        <v>1879484.8883830658</v>
      </c>
      <c r="L80" s="2">
        <v>455169.88838306593</v>
      </c>
      <c r="M80" s="2">
        <v>1424315</v>
      </c>
      <c r="N80" s="2">
        <v>34959.932470295003</v>
      </c>
      <c r="O80" s="2">
        <v>5352669</v>
      </c>
      <c r="P80" s="4">
        <v>57.344101319026755</v>
      </c>
      <c r="Q80" s="4">
        <v>28.3603471635323</v>
      </c>
      <c r="R80" s="4">
        <v>86.327855474521215</v>
      </c>
      <c r="S80" s="3">
        <f t="shared" si="35"/>
        <v>90.923700143961071</v>
      </c>
      <c r="T80" s="1">
        <f t="shared" si="36"/>
        <v>154.1</v>
      </c>
      <c r="U80" s="1" t="str">
        <f t="shared" si="34"/>
        <v/>
      </c>
      <c r="V80" s="1" t="str">
        <f t="shared" si="32"/>
        <v/>
      </c>
      <c r="W80" s="1">
        <f t="shared" si="28"/>
        <v>51.64</v>
      </c>
      <c r="X80" s="1">
        <f t="shared" si="29"/>
        <v>40</v>
      </c>
      <c r="Y80" s="4">
        <f t="shared" si="31"/>
        <v>22.783148364073952</v>
      </c>
    </row>
    <row r="81" spans="1:25" x14ac:dyDescent="0.25">
      <c r="A81" s="1" t="s">
        <v>39</v>
      </c>
      <c r="B81" s="1">
        <v>24</v>
      </c>
      <c r="C81" s="1" t="s">
        <v>21</v>
      </c>
      <c r="D81" s="2">
        <v>2180922</v>
      </c>
      <c r="E81" s="2">
        <v>11653105</v>
      </c>
      <c r="F81" s="2">
        <v>7140413.0301631838</v>
      </c>
      <c r="G81" s="1">
        <v>40</v>
      </c>
      <c r="H81" s="2">
        <v>4661242</v>
      </c>
      <c r="I81" s="2">
        <v>2330621</v>
      </c>
      <c r="J81" s="2">
        <v>2330621</v>
      </c>
      <c r="K81" s="2">
        <f t="shared" si="30"/>
        <v>1095781</v>
      </c>
      <c r="L81" s="2">
        <v>665004</v>
      </c>
      <c r="M81" s="2">
        <v>430777</v>
      </c>
      <c r="N81" s="2">
        <v>43181.521185748679</v>
      </c>
      <c r="O81" s="2">
        <v>5352669</v>
      </c>
      <c r="P81" s="4">
        <v>23.508348204191069</v>
      </c>
      <c r="Q81" s="4">
        <v>28.533339397525381</v>
      </c>
      <c r="R81" s="4">
        <v>18.483357010856764</v>
      </c>
      <c r="S81" s="3">
        <f t="shared" si="35"/>
        <v>61.27476779933918</v>
      </c>
      <c r="T81" s="1">
        <f t="shared" si="36"/>
        <v>217.70000000000002</v>
      </c>
      <c r="U81" s="1" t="str">
        <f t="shared" si="34"/>
        <v/>
      </c>
      <c r="V81" s="1" t="str">
        <f t="shared" si="32"/>
        <v/>
      </c>
      <c r="W81" s="1">
        <f t="shared" si="28"/>
        <v>77.080000000000013</v>
      </c>
      <c r="X81" s="1">
        <f t="shared" si="29"/>
        <v>40</v>
      </c>
      <c r="Y81" s="4">
        <f t="shared" si="31"/>
        <v>9.4033392816764287</v>
      </c>
    </row>
    <row r="82" spans="1:25" x14ac:dyDescent="0.25">
      <c r="A82" s="1" t="s">
        <v>39</v>
      </c>
      <c r="B82" s="1">
        <v>25</v>
      </c>
      <c r="C82" s="1" t="s">
        <v>23</v>
      </c>
      <c r="D82" s="2">
        <v>2180922</v>
      </c>
      <c r="E82" s="2">
        <v>9844546.4133096971</v>
      </c>
      <c r="F82" s="2">
        <v>48183070.7243025</v>
      </c>
      <c r="G82" s="1">
        <v>40</v>
      </c>
      <c r="H82" s="2">
        <v>3937818.565323879</v>
      </c>
      <c r="I82" s="2">
        <v>1968909.2826619395</v>
      </c>
      <c r="J82" s="2">
        <v>1968909.2826619395</v>
      </c>
      <c r="K82" s="2">
        <f t="shared" si="30"/>
        <v>2605994</v>
      </c>
      <c r="L82" s="2">
        <v>1255299</v>
      </c>
      <c r="M82" s="2">
        <v>1350695</v>
      </c>
      <c r="N82" s="2">
        <v>74908.370853627886</v>
      </c>
      <c r="O82" s="2">
        <v>5352669</v>
      </c>
      <c r="P82" s="4">
        <v>66.084685132921194</v>
      </c>
      <c r="Q82" s="4">
        <v>63.568190318441339</v>
      </c>
      <c r="R82" s="4">
        <v>68.601179947401036</v>
      </c>
      <c r="S82" s="3">
        <f t="shared" si="35"/>
        <v>489.43921539299799</v>
      </c>
      <c r="T82" s="1">
        <f t="shared" si="36"/>
        <v>183.9</v>
      </c>
      <c r="U82" s="1">
        <f t="shared" si="34"/>
        <v>61.2</v>
      </c>
      <c r="V82" s="1" t="str">
        <f t="shared" si="32"/>
        <v/>
      </c>
      <c r="W82" s="1" t="str">
        <f t="shared" si="28"/>
        <v/>
      </c>
      <c r="X82" s="1">
        <f t="shared" si="29"/>
        <v>40</v>
      </c>
      <c r="Y82" s="4">
        <f t="shared" si="31"/>
        <v>26.471448156074821</v>
      </c>
    </row>
    <row r="83" spans="1:25" x14ac:dyDescent="0.25">
      <c r="A83" s="1" t="s">
        <v>39</v>
      </c>
      <c r="B83" s="1">
        <v>26</v>
      </c>
      <c r="C83" s="1" t="s">
        <v>42</v>
      </c>
      <c r="D83" s="2">
        <v>2180922</v>
      </c>
      <c r="E83" s="2">
        <v>9823658.5283759534</v>
      </c>
      <c r="F83" s="2">
        <v>7704916.0086716646</v>
      </c>
      <c r="G83" s="1">
        <v>40</v>
      </c>
      <c r="H83" s="2">
        <v>3929463.4113503816</v>
      </c>
      <c r="I83" s="2">
        <v>1964731.7056751908</v>
      </c>
      <c r="J83" s="2">
        <v>1964731.7056751908</v>
      </c>
      <c r="K83" s="2">
        <f t="shared" si="30"/>
        <v>919439</v>
      </c>
      <c r="L83" s="2">
        <v>919439</v>
      </c>
      <c r="N83" s="2">
        <v>58476.073815956304</v>
      </c>
      <c r="O83" s="2">
        <v>5352669</v>
      </c>
      <c r="P83" s="4">
        <v>23.398591095536357</v>
      </c>
      <c r="Q83" s="4">
        <v>46.797182191072714</v>
      </c>
      <c r="R83" s="4">
        <v>0</v>
      </c>
      <c r="S83" s="3">
        <f t="shared" si="35"/>
        <v>78.432245852354981</v>
      </c>
      <c r="T83" s="1">
        <f t="shared" si="36"/>
        <v>183.5</v>
      </c>
      <c r="U83" s="1" t="str">
        <f t="shared" ref="U83:U85" si="37">IF(AND(T83&gt;40,S83&gt;=100),ROUND(30+13*((T83-40)/(100-40)),1),"")</f>
        <v/>
      </c>
      <c r="V83" s="1" t="str">
        <f t="shared" ref="V83:V85" si="38">IF(AND(S83&gt;=100,T83&gt;=10,T83&lt;=40),ROUND(30*((T83-10)/(40-10)),1),"")</f>
        <v/>
      </c>
      <c r="W83" s="1">
        <f t="shared" ref="W83:W84" si="39">IF(AND(S83&lt;100,T83&gt;=25),(30*(T83-25)/(100-25)),"")</f>
        <v>63.4</v>
      </c>
      <c r="X83" s="1">
        <f t="shared" ref="X83:X85" si="40">IF(SUM(U83:W83)&gt;40,40,SUM(U83:W83))</f>
        <v>40</v>
      </c>
      <c r="Y83" s="4">
        <f t="shared" si="31"/>
        <v>9.3594356658893521</v>
      </c>
    </row>
    <row r="84" spans="1:25" x14ac:dyDescent="0.25">
      <c r="A84" s="1" t="s">
        <v>39</v>
      </c>
      <c r="B84" s="1">
        <v>27</v>
      </c>
      <c r="C84" s="1" t="s">
        <v>43</v>
      </c>
      <c r="D84" s="2">
        <v>2180922</v>
      </c>
      <c r="E84" s="2">
        <v>7009915</v>
      </c>
      <c r="F84" s="2">
        <v>9618587</v>
      </c>
      <c r="G84" s="1">
        <v>40</v>
      </c>
      <c r="H84" s="2">
        <v>2803966</v>
      </c>
      <c r="I84" s="2">
        <v>1401983</v>
      </c>
      <c r="J84" s="2">
        <v>1401983</v>
      </c>
      <c r="K84" s="2">
        <f t="shared" si="30"/>
        <v>788923</v>
      </c>
      <c r="L84" s="2">
        <v>788923</v>
      </c>
      <c r="N84" s="2">
        <v>60278</v>
      </c>
      <c r="O84" s="2">
        <v>5352669</v>
      </c>
      <c r="P84" s="4">
        <v>28.135952076054217</v>
      </c>
      <c r="Q84" s="4">
        <v>56.271904152108434</v>
      </c>
      <c r="R84" s="4">
        <v>0</v>
      </c>
      <c r="S84" s="3">
        <f>F84/E84*100</f>
        <v>137.21403183918778</v>
      </c>
      <c r="T84" s="1">
        <f t="shared" si="36"/>
        <v>131</v>
      </c>
      <c r="U84" s="1">
        <f t="shared" si="37"/>
        <v>49.7</v>
      </c>
      <c r="V84" s="1" t="str">
        <f t="shared" si="38"/>
        <v/>
      </c>
      <c r="W84" s="1" t="str">
        <f t="shared" si="39"/>
        <v/>
      </c>
      <c r="X84" s="1">
        <f t="shared" si="40"/>
        <v>40</v>
      </c>
      <c r="Y84" s="4">
        <f t="shared" si="31"/>
        <v>11.254387535369546</v>
      </c>
    </row>
    <row r="85" spans="1:25" x14ac:dyDescent="0.25">
      <c r="A85" s="1" t="s">
        <v>39</v>
      </c>
      <c r="B85" s="1">
        <v>28</v>
      </c>
      <c r="C85" s="1" t="s">
        <v>44</v>
      </c>
      <c r="D85" s="2">
        <v>2180922</v>
      </c>
      <c r="E85" s="2">
        <v>9200766.2336548995</v>
      </c>
      <c r="F85" s="2">
        <v>4622343.7934345277</v>
      </c>
      <c r="G85" s="1">
        <v>40</v>
      </c>
      <c r="H85" s="2">
        <v>3680306.49346196</v>
      </c>
      <c r="I85" s="2">
        <v>1840153.24673098</v>
      </c>
      <c r="J85" s="2">
        <v>1840153.24673098</v>
      </c>
      <c r="K85" s="2">
        <f t="shared" si="30"/>
        <v>621856.36253110413</v>
      </c>
      <c r="L85" s="2">
        <v>621856.36253110413</v>
      </c>
      <c r="N85" s="2">
        <v>51840</v>
      </c>
      <c r="O85" s="2">
        <v>5352669</v>
      </c>
      <c r="Q85" s="4">
        <v>84.389290082342043</v>
      </c>
      <c r="S85" s="3">
        <f t="shared" ref="S85:S113" si="41">F85/E85*100</f>
        <v>50.238683127572024</v>
      </c>
      <c r="T85" s="1">
        <f t="shared" ref="T85:T113" si="42">ROUND(E85/O85,3)*100</f>
        <v>171.9</v>
      </c>
      <c r="U85" s="1" t="str">
        <f t="shared" si="37"/>
        <v/>
      </c>
      <c r="V85" s="1" t="str">
        <f t="shared" si="38"/>
        <v/>
      </c>
      <c r="W85" s="1">
        <f>IF(AND(S85&lt;100,T85&gt;=25),(30*(T85-25)/(100-25)),"")</f>
        <v>58.76</v>
      </c>
      <c r="X85" s="1">
        <f t="shared" si="40"/>
        <v>40</v>
      </c>
      <c r="Y85" s="4">
        <f t="shared" si="31"/>
        <v>6.7587453777105555</v>
      </c>
    </row>
    <row r="86" spans="1:25" x14ac:dyDescent="0.25">
      <c r="A86" s="1" t="s">
        <v>56</v>
      </c>
      <c r="B86" s="1">
        <v>1</v>
      </c>
      <c r="C86" s="1" t="s">
        <v>31</v>
      </c>
      <c r="D86" s="2">
        <v>1236150</v>
      </c>
      <c r="E86" s="2">
        <v>503381</v>
      </c>
      <c r="F86" s="2">
        <v>3801258</v>
      </c>
      <c r="G86" s="1">
        <v>25.4</v>
      </c>
      <c r="H86" s="2">
        <v>128367</v>
      </c>
      <c r="I86" s="2">
        <v>64183.5</v>
      </c>
      <c r="J86" s="2">
        <v>64183.5</v>
      </c>
      <c r="K86" s="2">
        <f t="shared" si="30"/>
        <v>64558</v>
      </c>
      <c r="L86" s="2">
        <v>54164</v>
      </c>
      <c r="M86" s="2">
        <v>10394</v>
      </c>
      <c r="N86" s="2">
        <v>5814</v>
      </c>
      <c r="O86" s="2">
        <v>5343031</v>
      </c>
      <c r="P86" s="4">
        <v>50.291741646996499</v>
      </c>
      <c r="Q86" s="4">
        <v>0</v>
      </c>
      <c r="R86" s="4">
        <v>16.194193211650969</v>
      </c>
      <c r="S86" s="3">
        <f t="shared" si="41"/>
        <v>755.14530743115063</v>
      </c>
      <c r="T86" s="1">
        <f t="shared" si="42"/>
        <v>9.4</v>
      </c>
      <c r="U86" s="1" t="str">
        <f>IF(AND(T86&gt;40,S86&gt;=100),ROUND(30+13*((T86-40)/(100-40)),1),"")</f>
        <v/>
      </c>
      <c r="V86" s="1" t="str">
        <f t="shared" ref="V86:V113" si="43">IF(AND(S86&gt;=100,T86&gt;=10,T86&lt;=40),ROUND(30*((T86-10)/(40-10)),1),"")</f>
        <v/>
      </c>
      <c r="W86" s="1" t="str">
        <f t="shared" ref="W86:W113" si="44">IF(AND(S86&lt;100,T86&gt;=25),(30*(T86-25)/(100-25)),"")</f>
        <v/>
      </c>
      <c r="X86" s="1">
        <f t="shared" ref="X86:X113" si="45">IF(SUM(U86:W86)&gt;40,40,SUM(U86:W86))</f>
        <v>0</v>
      </c>
      <c r="Y86" s="4">
        <f t="shared" si="31"/>
        <v>12.824878173788839</v>
      </c>
    </row>
    <row r="87" spans="1:25" x14ac:dyDescent="0.25">
      <c r="A87" s="1" t="s">
        <v>56</v>
      </c>
      <c r="B87" s="1">
        <v>2</v>
      </c>
      <c r="C87" s="1" t="s">
        <v>30</v>
      </c>
      <c r="D87" s="2">
        <v>1236150</v>
      </c>
      <c r="E87" s="2">
        <v>860286</v>
      </c>
      <c r="F87" s="2">
        <v>148081</v>
      </c>
      <c r="G87" s="1">
        <v>25.4</v>
      </c>
      <c r="H87" s="2">
        <v>218512.644</v>
      </c>
      <c r="I87" s="2">
        <v>109256.322</v>
      </c>
      <c r="J87" s="2">
        <v>109256.322</v>
      </c>
      <c r="K87" s="2">
        <f t="shared" si="30"/>
        <v>0</v>
      </c>
      <c r="L87" s="2">
        <v>0</v>
      </c>
      <c r="M87" s="2">
        <v>0</v>
      </c>
      <c r="N87" s="2">
        <v>0</v>
      </c>
      <c r="O87" s="2">
        <v>5343031</v>
      </c>
      <c r="P87" s="4">
        <v>0</v>
      </c>
      <c r="Q87" s="4">
        <v>0</v>
      </c>
      <c r="R87" s="4">
        <v>0</v>
      </c>
      <c r="S87" s="3">
        <f t="shared" si="41"/>
        <v>17.212996608104746</v>
      </c>
      <c r="T87" s="1">
        <f t="shared" si="42"/>
        <v>16.100000000000001</v>
      </c>
      <c r="U87" s="1" t="str">
        <f t="shared" ref="U87:U113" si="46">IF(AND(T87&gt;40,S87&gt;=100),ROUND(30+13*((T87-40)/(100-40)),1),"")</f>
        <v/>
      </c>
      <c r="V87" s="1" t="str">
        <f t="shared" si="43"/>
        <v/>
      </c>
      <c r="W87" s="1" t="str">
        <f t="shared" si="44"/>
        <v/>
      </c>
      <c r="X87" s="1">
        <f t="shared" si="45"/>
        <v>0</v>
      </c>
      <c r="Y87" s="4">
        <f t="shared" si="31"/>
        <v>0</v>
      </c>
    </row>
    <row r="88" spans="1:25" x14ac:dyDescent="0.25">
      <c r="A88" s="1" t="s">
        <v>56</v>
      </c>
      <c r="B88" s="1">
        <v>3</v>
      </c>
      <c r="C88" s="1" t="s">
        <v>0</v>
      </c>
      <c r="D88" s="2">
        <v>1236150</v>
      </c>
      <c r="E88" s="2">
        <v>766639</v>
      </c>
      <c r="F88" s="2">
        <v>74343</v>
      </c>
      <c r="G88" s="1">
        <v>25.4</v>
      </c>
      <c r="H88" s="2">
        <v>194726.30600000001</v>
      </c>
      <c r="I88" s="2">
        <v>97363.153000000006</v>
      </c>
      <c r="J88" s="2">
        <v>97363.153000000006</v>
      </c>
      <c r="K88" s="2">
        <f t="shared" si="30"/>
        <v>36618</v>
      </c>
      <c r="L88" s="2">
        <v>0</v>
      </c>
      <c r="M88" s="2">
        <v>36618</v>
      </c>
      <c r="N88" s="2">
        <v>0</v>
      </c>
      <c r="O88" s="2">
        <v>5343031</v>
      </c>
      <c r="P88" s="4">
        <v>18.804855261825796</v>
      </c>
      <c r="Q88" s="4">
        <v>37.277344096792817</v>
      </c>
      <c r="R88" s="4">
        <v>37.609710523651593</v>
      </c>
      <c r="S88" s="3">
        <f t="shared" si="41"/>
        <v>9.697262988186095</v>
      </c>
      <c r="T88" s="1">
        <f t="shared" si="42"/>
        <v>14.299999999999999</v>
      </c>
      <c r="U88" s="1" t="str">
        <f t="shared" si="46"/>
        <v/>
      </c>
      <c r="V88" s="1" t="str">
        <f t="shared" si="43"/>
        <v/>
      </c>
      <c r="W88" s="1" t="str">
        <f t="shared" si="44"/>
        <v/>
      </c>
      <c r="X88" s="1">
        <f t="shared" si="45"/>
        <v>0</v>
      </c>
      <c r="Y88" s="4">
        <f t="shared" si="31"/>
        <v>4.7764332365037525</v>
      </c>
    </row>
    <row r="89" spans="1:25" x14ac:dyDescent="0.25">
      <c r="A89" s="1" t="s">
        <v>56</v>
      </c>
      <c r="B89" s="1">
        <v>4</v>
      </c>
      <c r="C89" s="1" t="s">
        <v>1</v>
      </c>
      <c r="D89" s="2">
        <v>1236150</v>
      </c>
      <c r="E89" s="2">
        <v>1282935</v>
      </c>
      <c r="F89" s="2">
        <v>3144457</v>
      </c>
      <c r="G89" s="1">
        <v>25.4</v>
      </c>
      <c r="H89" s="2">
        <v>325865.49</v>
      </c>
      <c r="I89" s="2">
        <v>162932.745</v>
      </c>
      <c r="J89" s="2">
        <v>162932.745</v>
      </c>
      <c r="K89" s="2">
        <f t="shared" si="30"/>
        <v>89043</v>
      </c>
      <c r="L89" s="2">
        <v>60737</v>
      </c>
      <c r="M89" s="2">
        <v>28306</v>
      </c>
      <c r="N89" s="2">
        <v>5898</v>
      </c>
      <c r="O89" s="2">
        <v>5343031</v>
      </c>
      <c r="P89" s="4">
        <v>27.325078209417018</v>
      </c>
      <c r="Q89" s="4">
        <v>14.496072262291934</v>
      </c>
      <c r="R89" s="4">
        <v>17.37281232204122</v>
      </c>
      <c r="S89" s="3">
        <f t="shared" si="41"/>
        <v>245.09869946645776</v>
      </c>
      <c r="T89" s="1">
        <f t="shared" si="42"/>
        <v>24</v>
      </c>
      <c r="U89" s="1" t="str">
        <f t="shared" si="46"/>
        <v/>
      </c>
      <c r="V89" s="1">
        <f t="shared" si="43"/>
        <v>14</v>
      </c>
      <c r="W89" s="1" t="str">
        <f t="shared" si="44"/>
        <v/>
      </c>
      <c r="X89" s="1">
        <f t="shared" si="45"/>
        <v>14</v>
      </c>
      <c r="Y89" s="4">
        <f t="shared" si="31"/>
        <v>6.9405698651919225</v>
      </c>
    </row>
    <row r="90" spans="1:25" x14ac:dyDescent="0.25">
      <c r="A90" s="1" t="s">
        <v>56</v>
      </c>
      <c r="B90" s="1">
        <v>5</v>
      </c>
      <c r="C90" s="1" t="s">
        <v>2</v>
      </c>
      <c r="D90" s="2">
        <v>1236150</v>
      </c>
      <c r="E90" s="2">
        <v>6178486</v>
      </c>
      <c r="F90" s="2">
        <v>5416711</v>
      </c>
      <c r="G90" s="1">
        <v>25.4</v>
      </c>
      <c r="H90" s="2">
        <v>1569335.4440000001</v>
      </c>
      <c r="I90" s="2">
        <v>784667.72200000007</v>
      </c>
      <c r="J90" s="2">
        <v>784667.72200000007</v>
      </c>
      <c r="K90" s="2">
        <f t="shared" si="30"/>
        <v>169020</v>
      </c>
      <c r="L90" s="2">
        <v>113746</v>
      </c>
      <c r="M90" s="2">
        <v>55274</v>
      </c>
      <c r="N90" s="2">
        <v>8073</v>
      </c>
      <c r="O90" s="2">
        <v>5343031</v>
      </c>
      <c r="P90" s="4">
        <v>10.770163934435422</v>
      </c>
      <c r="Q90" s="4">
        <v>0</v>
      </c>
      <c r="R90" s="4">
        <v>7.0442556065789068</v>
      </c>
      <c r="S90" s="3">
        <f t="shared" si="41"/>
        <v>87.670523167002401</v>
      </c>
      <c r="T90" s="1">
        <f t="shared" si="42"/>
        <v>115.6</v>
      </c>
      <c r="U90" s="1" t="str">
        <f t="shared" si="46"/>
        <v/>
      </c>
      <c r="V90" s="1" t="str">
        <f t="shared" si="43"/>
        <v/>
      </c>
      <c r="W90" s="1">
        <f t="shared" si="44"/>
        <v>36.24</v>
      </c>
      <c r="X90" s="1">
        <f t="shared" si="45"/>
        <v>36.24</v>
      </c>
      <c r="Y90" s="4">
        <f t="shared" si="31"/>
        <v>2.7356216393465971</v>
      </c>
    </row>
    <row r="91" spans="1:25" x14ac:dyDescent="0.25">
      <c r="A91" s="1" t="s">
        <v>56</v>
      </c>
      <c r="B91" s="1">
        <v>6</v>
      </c>
      <c r="C91" s="1" t="s">
        <v>3</v>
      </c>
      <c r="D91" s="2">
        <v>1245716</v>
      </c>
      <c r="E91" s="2">
        <v>5343031</v>
      </c>
      <c r="F91" s="2">
        <v>9034958</v>
      </c>
      <c r="G91" s="1">
        <v>25.4</v>
      </c>
      <c r="H91" s="2">
        <v>1357129.8740000001</v>
      </c>
      <c r="I91" s="2">
        <v>678564.93700000003</v>
      </c>
      <c r="J91" s="2">
        <v>678564.93700000003</v>
      </c>
      <c r="K91" s="2">
        <f t="shared" si="30"/>
        <v>9355</v>
      </c>
      <c r="L91" s="2">
        <v>0</v>
      </c>
      <c r="M91" s="2">
        <v>9355</v>
      </c>
      <c r="N91" s="2">
        <v>0</v>
      </c>
      <c r="O91" s="2">
        <v>5343031</v>
      </c>
      <c r="P91" s="4">
        <v>0.68932238389440981</v>
      </c>
      <c r="Q91" s="4">
        <v>53.848668324743429</v>
      </c>
      <c r="R91" s="4">
        <v>1.3786447677888196</v>
      </c>
      <c r="S91" s="3">
        <f t="shared" si="41"/>
        <v>169.09798951194557</v>
      </c>
      <c r="T91" s="1">
        <f t="shared" si="42"/>
        <v>100</v>
      </c>
      <c r="U91" s="1">
        <f t="shared" si="46"/>
        <v>43</v>
      </c>
      <c r="V91" s="1" t="str">
        <f t="shared" si="43"/>
        <v/>
      </c>
      <c r="W91" s="1" t="str">
        <f t="shared" si="44"/>
        <v/>
      </c>
      <c r="X91" s="1">
        <f t="shared" si="45"/>
        <v>40</v>
      </c>
      <c r="Y91" s="4">
        <f t="shared" si="31"/>
        <v>0.17508788550918009</v>
      </c>
    </row>
    <row r="92" spans="1:25" x14ac:dyDescent="0.25">
      <c r="A92" s="1" t="s">
        <v>56</v>
      </c>
      <c r="B92" s="1">
        <v>7</v>
      </c>
      <c r="C92" s="1" t="s">
        <v>4</v>
      </c>
      <c r="D92" s="2">
        <v>1245716</v>
      </c>
      <c r="E92" s="2">
        <v>2129400</v>
      </c>
      <c r="F92" s="2">
        <v>7095019</v>
      </c>
      <c r="G92" s="1">
        <v>30</v>
      </c>
      <c r="H92" s="2">
        <v>540867.6</v>
      </c>
      <c r="I92" s="2">
        <v>270433.8</v>
      </c>
      <c r="J92" s="2">
        <v>270433.8</v>
      </c>
      <c r="K92" s="2">
        <f t="shared" si="30"/>
        <v>197054</v>
      </c>
      <c r="L92" s="2">
        <v>145625</v>
      </c>
      <c r="M92" s="2">
        <v>51429</v>
      </c>
      <c r="N92" s="2">
        <v>10306</v>
      </c>
      <c r="O92" s="2">
        <v>5343031</v>
      </c>
      <c r="P92" s="4">
        <v>36.43294588176478</v>
      </c>
      <c r="Q92" s="4">
        <v>32.927578875602478</v>
      </c>
      <c r="R92" s="4">
        <v>19.017223438786129</v>
      </c>
      <c r="S92" s="3">
        <f t="shared" si="41"/>
        <v>333.19334084718702</v>
      </c>
      <c r="T92" s="1">
        <f t="shared" si="42"/>
        <v>39.900000000000006</v>
      </c>
      <c r="U92" s="1" t="str">
        <f t="shared" si="46"/>
        <v/>
      </c>
      <c r="V92" s="1">
        <f t="shared" si="43"/>
        <v>29.9</v>
      </c>
      <c r="W92" s="1" t="str">
        <f t="shared" si="44"/>
        <v/>
      </c>
      <c r="X92" s="1">
        <f t="shared" si="45"/>
        <v>29.9</v>
      </c>
      <c r="Y92" s="4">
        <f t="shared" si="31"/>
        <v>9.2539682539682531</v>
      </c>
    </row>
    <row r="93" spans="1:25" x14ac:dyDescent="0.25">
      <c r="A93" s="1" t="s">
        <v>56</v>
      </c>
      <c r="B93" s="1">
        <v>8</v>
      </c>
      <c r="C93" s="1" t="s">
        <v>5</v>
      </c>
      <c r="D93" s="2">
        <v>1245716</v>
      </c>
      <c r="E93" s="2">
        <v>1775861</v>
      </c>
      <c r="F93" s="2">
        <v>4486022</v>
      </c>
      <c r="G93" s="1">
        <v>30</v>
      </c>
      <c r="H93" s="2">
        <v>451068.69400000002</v>
      </c>
      <c r="I93" s="2">
        <v>225534.34700000001</v>
      </c>
      <c r="J93" s="2">
        <v>225534.34700000001</v>
      </c>
      <c r="K93" s="2">
        <f t="shared" si="30"/>
        <v>97732</v>
      </c>
      <c r="L93" s="2">
        <v>74263</v>
      </c>
      <c r="M93" s="2">
        <v>23469</v>
      </c>
      <c r="N93" s="2">
        <v>5368</v>
      </c>
      <c r="O93" s="2">
        <v>5343031</v>
      </c>
      <c r="P93" s="4">
        <v>21.666766348453343</v>
      </c>
      <c r="Q93" s="4">
        <v>15.910371415462413</v>
      </c>
      <c r="R93" s="4">
        <v>10.405953821304211</v>
      </c>
      <c r="S93" s="3">
        <f t="shared" si="41"/>
        <v>252.61109962998231</v>
      </c>
      <c r="T93" s="1">
        <f t="shared" si="42"/>
        <v>33.200000000000003</v>
      </c>
      <c r="U93" s="1" t="str">
        <f t="shared" si="46"/>
        <v/>
      </c>
      <c r="V93" s="1">
        <f t="shared" si="43"/>
        <v>23.2</v>
      </c>
      <c r="W93" s="1" t="str">
        <f t="shared" si="44"/>
        <v/>
      </c>
      <c r="X93" s="1">
        <f t="shared" si="45"/>
        <v>23.2</v>
      </c>
      <c r="Y93" s="4">
        <f t="shared" si="31"/>
        <v>5.5033586525071501</v>
      </c>
    </row>
    <row r="94" spans="1:25" x14ac:dyDescent="0.25">
      <c r="A94" s="1" t="s">
        <v>56</v>
      </c>
      <c r="B94" s="1">
        <v>9</v>
      </c>
      <c r="C94" s="1" t="s">
        <v>6</v>
      </c>
      <c r="D94" s="2">
        <v>1245716</v>
      </c>
      <c r="E94" s="2">
        <v>1486625</v>
      </c>
      <c r="F94" s="2">
        <v>3771213</v>
      </c>
      <c r="G94" s="1">
        <v>30</v>
      </c>
      <c r="H94" s="2">
        <v>377602.75</v>
      </c>
      <c r="I94" s="2">
        <v>188801.375</v>
      </c>
      <c r="J94" s="2">
        <v>188801.375</v>
      </c>
      <c r="K94" s="2">
        <f t="shared" si="30"/>
        <v>50026</v>
      </c>
      <c r="L94" s="2">
        <v>30039</v>
      </c>
      <c r="M94" s="2">
        <v>19987</v>
      </c>
      <c r="N94" s="2">
        <v>5051</v>
      </c>
      <c r="O94" s="2">
        <v>5343031</v>
      </c>
      <c r="P94" s="4">
        <v>13.248314531607623</v>
      </c>
      <c r="Q94" s="4">
        <v>14.510990695275522</v>
      </c>
      <c r="R94" s="4">
        <v>10.586257647752831</v>
      </c>
      <c r="S94" s="3">
        <f t="shared" si="41"/>
        <v>253.67614563188431</v>
      </c>
      <c r="T94" s="1">
        <f t="shared" si="42"/>
        <v>27.800000000000004</v>
      </c>
      <c r="U94" s="1" t="str">
        <f t="shared" si="46"/>
        <v/>
      </c>
      <c r="V94" s="1">
        <f t="shared" si="43"/>
        <v>17.8</v>
      </c>
      <c r="W94" s="1" t="str">
        <f t="shared" si="44"/>
        <v/>
      </c>
      <c r="X94" s="1">
        <f t="shared" si="45"/>
        <v>17.8</v>
      </c>
      <c r="Y94" s="4">
        <f t="shared" si="31"/>
        <v>3.3650718910283359</v>
      </c>
    </row>
    <row r="95" spans="1:25" x14ac:dyDescent="0.25">
      <c r="A95" s="1" t="s">
        <v>56</v>
      </c>
      <c r="B95" s="1">
        <v>10</v>
      </c>
      <c r="C95" s="1" t="s">
        <v>7</v>
      </c>
      <c r="D95" s="2">
        <v>1245716</v>
      </c>
      <c r="E95" s="2">
        <v>781596</v>
      </c>
      <c r="F95" s="2">
        <v>409413</v>
      </c>
      <c r="G95" s="1">
        <v>30</v>
      </c>
      <c r="H95" s="2">
        <v>198525.38399999999</v>
      </c>
      <c r="I95" s="2">
        <v>99262.691999999995</v>
      </c>
      <c r="J95" s="2">
        <v>99262.691999999995</v>
      </c>
      <c r="K95" s="2">
        <f t="shared" si="30"/>
        <v>14404</v>
      </c>
      <c r="L95" s="2">
        <v>14404</v>
      </c>
      <c r="M95" s="2">
        <v>0</v>
      </c>
      <c r="N95" s="2">
        <v>2591</v>
      </c>
      <c r="O95" s="2">
        <v>5343031</v>
      </c>
      <c r="P95" s="4">
        <v>7.255495347637761</v>
      </c>
      <c r="Q95" s="4">
        <v>0</v>
      </c>
      <c r="R95" s="4">
        <v>0</v>
      </c>
      <c r="S95" s="3">
        <f t="shared" si="41"/>
        <v>52.381665208112629</v>
      </c>
      <c r="T95" s="1">
        <f t="shared" si="42"/>
        <v>14.6</v>
      </c>
      <c r="U95" s="1" t="str">
        <f t="shared" si="46"/>
        <v/>
      </c>
      <c r="V95" s="1" t="str">
        <f t="shared" si="43"/>
        <v/>
      </c>
      <c r="W95" s="1" t="str">
        <f t="shared" si="44"/>
        <v/>
      </c>
      <c r="X95" s="1">
        <f t="shared" si="45"/>
        <v>0</v>
      </c>
      <c r="Y95" s="4">
        <f t="shared" si="31"/>
        <v>1.8428958182999913</v>
      </c>
    </row>
    <row r="96" spans="1:25" x14ac:dyDescent="0.25">
      <c r="A96" s="1" t="s">
        <v>56</v>
      </c>
      <c r="B96" s="1">
        <v>11</v>
      </c>
      <c r="C96" s="1" t="s">
        <v>8</v>
      </c>
      <c r="D96" s="2">
        <v>1350936</v>
      </c>
      <c r="E96" s="2">
        <v>271868</v>
      </c>
      <c r="F96" s="2">
        <v>791486</v>
      </c>
      <c r="G96" s="1">
        <v>30</v>
      </c>
      <c r="H96" s="2">
        <v>69054.471999999994</v>
      </c>
      <c r="I96" s="2">
        <v>34527.235999999997</v>
      </c>
      <c r="J96" s="2">
        <v>34527.235999999997</v>
      </c>
      <c r="K96" s="2">
        <f t="shared" si="30"/>
        <v>3176</v>
      </c>
      <c r="L96" s="2">
        <v>0</v>
      </c>
      <c r="M96" s="2">
        <v>3176</v>
      </c>
      <c r="N96" s="2">
        <v>0</v>
      </c>
      <c r="O96" s="2">
        <v>5343031</v>
      </c>
      <c r="P96" s="4">
        <v>4.5992676622015161</v>
      </c>
      <c r="Q96" s="4">
        <v>0</v>
      </c>
      <c r="R96" s="4">
        <v>9.1985353244030321</v>
      </c>
      <c r="S96" s="3">
        <f t="shared" si="41"/>
        <v>291.12878308590933</v>
      </c>
      <c r="T96" s="1">
        <f t="shared" si="42"/>
        <v>5.0999999999999996</v>
      </c>
      <c r="U96" s="1" t="str">
        <f t="shared" si="46"/>
        <v/>
      </c>
      <c r="V96" s="1" t="str">
        <f t="shared" si="43"/>
        <v/>
      </c>
      <c r="W96" s="1" t="str">
        <f t="shared" si="44"/>
        <v/>
      </c>
      <c r="X96" s="1">
        <f t="shared" si="45"/>
        <v>0</v>
      </c>
      <c r="Y96" s="4">
        <f t="shared" si="31"/>
        <v>1.1682139861991849</v>
      </c>
    </row>
    <row r="97" spans="1:25" x14ac:dyDescent="0.25">
      <c r="A97" s="1" t="s">
        <v>56</v>
      </c>
      <c r="B97" s="1">
        <v>12</v>
      </c>
      <c r="C97" s="1" t="s">
        <v>9</v>
      </c>
      <c r="D97" s="2">
        <v>1350936</v>
      </c>
      <c r="E97" s="2">
        <v>1263639</v>
      </c>
      <c r="F97" s="2">
        <v>6034937</v>
      </c>
      <c r="G97" s="1">
        <v>30</v>
      </c>
      <c r="H97" s="2">
        <v>320964.30599999998</v>
      </c>
      <c r="I97" s="2">
        <v>160482.15299999999</v>
      </c>
      <c r="J97" s="2">
        <v>160482.15299999999</v>
      </c>
      <c r="K97" s="2">
        <f t="shared" si="30"/>
        <v>8789</v>
      </c>
      <c r="L97" s="2">
        <v>0</v>
      </c>
      <c r="M97" s="2">
        <v>8789</v>
      </c>
      <c r="N97" s="2">
        <v>0</v>
      </c>
      <c r="O97" s="2">
        <v>5343031</v>
      </c>
      <c r="P97" s="4">
        <v>2.7383107204450332</v>
      </c>
      <c r="Q97" s="4">
        <v>10.337349362481293</v>
      </c>
      <c r="R97" s="4">
        <v>5.4766214408900664</v>
      </c>
      <c r="S97" s="3">
        <f t="shared" si="41"/>
        <v>477.58394604788236</v>
      </c>
      <c r="T97" s="1">
        <f t="shared" si="42"/>
        <v>23.7</v>
      </c>
      <c r="U97" s="1" t="str">
        <f t="shared" si="46"/>
        <v/>
      </c>
      <c r="V97" s="1">
        <f t="shared" si="43"/>
        <v>13.7</v>
      </c>
      <c r="W97" s="1" t="str">
        <f t="shared" si="44"/>
        <v/>
      </c>
      <c r="X97" s="1">
        <f t="shared" si="45"/>
        <v>13.7</v>
      </c>
      <c r="Y97" s="4">
        <f t="shared" si="31"/>
        <v>0.69553092299303831</v>
      </c>
    </row>
    <row r="98" spans="1:25" x14ac:dyDescent="0.25">
      <c r="A98" s="1" t="s">
        <v>56</v>
      </c>
      <c r="B98" s="1">
        <v>13</v>
      </c>
      <c r="C98" s="1" t="s">
        <v>10</v>
      </c>
      <c r="D98" s="2">
        <v>1350936</v>
      </c>
      <c r="E98" s="2">
        <v>3532256.862757504</v>
      </c>
      <c r="F98" s="2">
        <v>3244015.9198873797</v>
      </c>
      <c r="G98" s="1">
        <v>30</v>
      </c>
      <c r="H98" s="2">
        <v>897193.24314040598</v>
      </c>
      <c r="I98" s="2">
        <v>448596.62157020299</v>
      </c>
      <c r="J98" s="2">
        <v>448596.62157020299</v>
      </c>
      <c r="K98" s="2">
        <f t="shared" si="30"/>
        <v>53373</v>
      </c>
      <c r="L98" s="2">
        <v>46373</v>
      </c>
      <c r="M98" s="2">
        <v>7000</v>
      </c>
      <c r="N98" s="2">
        <v>4548</v>
      </c>
      <c r="O98" s="2">
        <v>5343031</v>
      </c>
      <c r="P98" s="4">
        <v>5.9488856395285419</v>
      </c>
      <c r="Q98" s="4">
        <v>5.5402320859414855</v>
      </c>
      <c r="R98" s="4">
        <v>1.5604219165757889</v>
      </c>
      <c r="S98" s="3">
        <f t="shared" si="41"/>
        <v>91.839751352479354</v>
      </c>
      <c r="T98" s="1">
        <f t="shared" si="42"/>
        <v>66.100000000000009</v>
      </c>
      <c r="U98" s="1" t="str">
        <f t="shared" si="46"/>
        <v/>
      </c>
      <c r="V98" s="1" t="str">
        <f t="shared" si="43"/>
        <v/>
      </c>
      <c r="W98" s="1">
        <f t="shared" si="44"/>
        <v>16.440000000000001</v>
      </c>
      <c r="X98" s="1">
        <f t="shared" si="45"/>
        <v>16.440000000000001</v>
      </c>
      <c r="Y98" s="4">
        <f t="shared" si="31"/>
        <v>1.5110169524402493</v>
      </c>
    </row>
    <row r="99" spans="1:25" x14ac:dyDescent="0.25">
      <c r="A99" s="1" t="s">
        <v>56</v>
      </c>
      <c r="B99" s="1">
        <v>14</v>
      </c>
      <c r="C99" s="1" t="s">
        <v>11</v>
      </c>
      <c r="D99" s="2">
        <v>1350936</v>
      </c>
      <c r="E99" s="2">
        <v>2038773</v>
      </c>
      <c r="F99" s="2">
        <v>3042018</v>
      </c>
      <c r="G99" s="1">
        <v>30</v>
      </c>
      <c r="H99" s="2">
        <v>517848.342</v>
      </c>
      <c r="I99" s="2">
        <v>258924.171</v>
      </c>
      <c r="J99" s="2">
        <v>258924.171</v>
      </c>
      <c r="K99" s="2">
        <f t="shared" si="30"/>
        <v>29516</v>
      </c>
      <c r="L99" s="2">
        <v>14345</v>
      </c>
      <c r="M99" s="2">
        <v>15171</v>
      </c>
      <c r="N99" s="2">
        <v>2163</v>
      </c>
      <c r="O99" s="2">
        <v>5343031</v>
      </c>
      <c r="P99" s="4">
        <v>5.6997382449860199</v>
      </c>
      <c r="Q99" s="4">
        <v>2.0420509762331829</v>
      </c>
      <c r="R99" s="4">
        <v>5.8592444040305534</v>
      </c>
      <c r="S99" s="3">
        <f t="shared" si="41"/>
        <v>149.20827379997675</v>
      </c>
      <c r="T99" s="1">
        <f t="shared" si="42"/>
        <v>38.200000000000003</v>
      </c>
      <c r="U99" s="1" t="str">
        <f t="shared" si="46"/>
        <v/>
      </c>
      <c r="V99" s="1">
        <f t="shared" si="43"/>
        <v>28.2</v>
      </c>
      <c r="W99" s="1" t="str">
        <f t="shared" si="44"/>
        <v/>
      </c>
      <c r="X99" s="1">
        <f t="shared" si="45"/>
        <v>28.2</v>
      </c>
      <c r="Y99" s="4">
        <f t="shared" si="31"/>
        <v>1.4477335142264489</v>
      </c>
    </row>
    <row r="100" spans="1:25" x14ac:dyDescent="0.25">
      <c r="A100" s="1" t="s">
        <v>56</v>
      </c>
      <c r="B100" s="1">
        <v>15</v>
      </c>
      <c r="C100" s="1" t="s">
        <v>12</v>
      </c>
      <c r="D100" s="2">
        <v>1362708.5771762982</v>
      </c>
      <c r="E100" s="2">
        <v>1138272</v>
      </c>
      <c r="F100" s="2">
        <v>2321862</v>
      </c>
      <c r="G100" s="1">
        <v>30</v>
      </c>
      <c r="H100" s="2">
        <v>289121.08799999999</v>
      </c>
      <c r="I100" s="2">
        <v>144560.54399999999</v>
      </c>
      <c r="J100" s="2">
        <v>144560.54399999999</v>
      </c>
      <c r="K100" s="2">
        <f t="shared" si="30"/>
        <v>4082</v>
      </c>
      <c r="L100" s="2">
        <v>2952</v>
      </c>
      <c r="M100" s="2">
        <v>1130</v>
      </c>
      <c r="N100" s="2">
        <v>1283</v>
      </c>
      <c r="O100" s="2">
        <v>5343031</v>
      </c>
      <c r="P100" s="4">
        <v>1.4118651905460455</v>
      </c>
      <c r="Q100" s="4">
        <v>0</v>
      </c>
      <c r="R100" s="4">
        <v>0.78167940485890808</v>
      </c>
      <c r="S100" s="3">
        <f t="shared" si="41"/>
        <v>203.98129796744539</v>
      </c>
      <c r="T100" s="1">
        <f t="shared" si="42"/>
        <v>21.3</v>
      </c>
      <c r="U100" s="1" t="str">
        <f t="shared" si="46"/>
        <v/>
      </c>
      <c r="V100" s="1">
        <f t="shared" si="43"/>
        <v>11.3</v>
      </c>
      <c r="W100" s="1" t="str">
        <f t="shared" si="44"/>
        <v/>
      </c>
      <c r="X100" s="1">
        <f t="shared" si="45"/>
        <v>11.3</v>
      </c>
      <c r="Y100" s="4">
        <f t="shared" si="31"/>
        <v>0.35861375839869558</v>
      </c>
    </row>
    <row r="101" spans="1:25" x14ac:dyDescent="0.25">
      <c r="A101" s="1" t="s">
        <v>56</v>
      </c>
      <c r="B101" s="1">
        <v>16</v>
      </c>
      <c r="C101" s="1" t="s">
        <v>13</v>
      </c>
      <c r="D101" s="2">
        <v>1362708.5771762982</v>
      </c>
      <c r="E101" s="2">
        <v>894041</v>
      </c>
      <c r="F101" s="2">
        <v>903369</v>
      </c>
      <c r="G101" s="1">
        <v>39.1</v>
      </c>
      <c r="H101" s="2">
        <v>227086.41399999999</v>
      </c>
      <c r="I101" s="2">
        <v>113543.20699999999</v>
      </c>
      <c r="J101" s="2">
        <v>113543.20699999999</v>
      </c>
      <c r="K101" s="2">
        <f t="shared" si="30"/>
        <v>1052</v>
      </c>
      <c r="L101" s="2">
        <v>0</v>
      </c>
      <c r="M101" s="2">
        <v>1052</v>
      </c>
      <c r="N101" s="2">
        <v>0</v>
      </c>
      <c r="O101" s="2">
        <v>5343031</v>
      </c>
      <c r="P101" s="4">
        <v>0.46325977035332461</v>
      </c>
      <c r="Q101" s="4">
        <v>0</v>
      </c>
      <c r="R101" s="4">
        <v>0.92651954070664921</v>
      </c>
      <c r="S101" s="3">
        <f t="shared" si="41"/>
        <v>101.04335259792336</v>
      </c>
      <c r="T101" s="1">
        <f t="shared" si="42"/>
        <v>16.7</v>
      </c>
      <c r="U101" s="1" t="str">
        <f t="shared" si="46"/>
        <v/>
      </c>
      <c r="V101" s="1">
        <f t="shared" si="43"/>
        <v>6.7</v>
      </c>
      <c r="W101" s="1" t="str">
        <f t="shared" si="44"/>
        <v/>
      </c>
      <c r="X101" s="1">
        <f t="shared" si="45"/>
        <v>6.7</v>
      </c>
      <c r="Y101" s="4">
        <f t="shared" si="31"/>
        <v>0.11766798166974446</v>
      </c>
    </row>
    <row r="102" spans="1:25" x14ac:dyDescent="0.25">
      <c r="A102" s="1" t="s">
        <v>56</v>
      </c>
      <c r="B102" s="1">
        <v>17</v>
      </c>
      <c r="C102" s="1" t="s">
        <v>14</v>
      </c>
      <c r="D102" s="2">
        <v>1362708.5771762982</v>
      </c>
      <c r="E102" s="2">
        <v>1033286</v>
      </c>
      <c r="F102" s="2">
        <v>536262</v>
      </c>
      <c r="G102" s="1">
        <v>40</v>
      </c>
      <c r="H102" s="2">
        <v>262454.64400000003</v>
      </c>
      <c r="I102" s="2">
        <v>131227.32200000001</v>
      </c>
      <c r="J102" s="2">
        <v>131227.32200000001</v>
      </c>
      <c r="K102" s="2">
        <f t="shared" si="30"/>
        <v>2527</v>
      </c>
      <c r="L102" s="2">
        <v>0</v>
      </c>
      <c r="M102" s="2">
        <v>2527</v>
      </c>
      <c r="N102" s="2">
        <v>0</v>
      </c>
      <c r="O102" s="2">
        <v>5343031</v>
      </c>
      <c r="P102" s="4">
        <v>0.96283302954243011</v>
      </c>
      <c r="Q102" s="4">
        <v>0</v>
      </c>
      <c r="R102" s="4">
        <v>1.9256660590848602</v>
      </c>
      <c r="S102" s="3">
        <f t="shared" si="41"/>
        <v>51.8986998759298</v>
      </c>
      <c r="T102" s="1">
        <f t="shared" si="42"/>
        <v>19.3</v>
      </c>
      <c r="U102" s="1" t="str">
        <f>IF(AND(T102&gt;40,S102&gt;=100),ROUND(30+13*((T102-40)/(100-40)),1),"")</f>
        <v/>
      </c>
      <c r="V102" s="1" t="str">
        <f t="shared" si="43"/>
        <v/>
      </c>
      <c r="W102" s="1" t="str">
        <f t="shared" si="44"/>
        <v/>
      </c>
      <c r="X102" s="1">
        <f t="shared" si="45"/>
        <v>0</v>
      </c>
      <c r="Y102" s="4">
        <f t="shared" si="31"/>
        <v>0.24455958950377726</v>
      </c>
    </row>
    <row r="103" spans="1:25" x14ac:dyDescent="0.25">
      <c r="A103" s="1" t="s">
        <v>56</v>
      </c>
      <c r="B103" s="1">
        <v>18</v>
      </c>
      <c r="C103" s="1" t="s">
        <v>15</v>
      </c>
      <c r="D103" s="2">
        <v>1362708.5771762982</v>
      </c>
      <c r="E103" s="2">
        <v>990040</v>
      </c>
      <c r="F103" s="2">
        <v>549684</v>
      </c>
      <c r="G103" s="1">
        <v>40</v>
      </c>
      <c r="H103" s="2">
        <v>251470.16</v>
      </c>
      <c r="I103" s="2">
        <v>125735.08</v>
      </c>
      <c r="J103" s="2">
        <v>125735.08</v>
      </c>
      <c r="K103" s="2">
        <f t="shared" si="30"/>
        <v>934</v>
      </c>
      <c r="L103" s="2">
        <v>0</v>
      </c>
      <c r="M103" s="2">
        <v>934</v>
      </c>
      <c r="N103" s="2">
        <v>0</v>
      </c>
      <c r="O103" s="2">
        <v>5343031</v>
      </c>
      <c r="P103" s="4">
        <v>0.371415837171297</v>
      </c>
      <c r="Q103" s="4">
        <v>18.358336535670286</v>
      </c>
      <c r="R103" s="4">
        <v>0.74283167434259401</v>
      </c>
      <c r="S103" s="3">
        <f t="shared" si="41"/>
        <v>55.52139307502727</v>
      </c>
      <c r="T103" s="1">
        <f t="shared" si="42"/>
        <v>18.5</v>
      </c>
      <c r="U103" s="1" t="str">
        <f t="shared" si="46"/>
        <v/>
      </c>
      <c r="V103" s="1" t="str">
        <f t="shared" si="43"/>
        <v/>
      </c>
      <c r="W103" s="1" t="str">
        <f t="shared" si="44"/>
        <v/>
      </c>
      <c r="X103" s="1">
        <f t="shared" si="45"/>
        <v>0</v>
      </c>
      <c r="Y103" s="4">
        <f t="shared" si="31"/>
        <v>9.4339622641509441E-2</v>
      </c>
    </row>
    <row r="104" spans="1:25" x14ac:dyDescent="0.25">
      <c r="A104" s="1" t="s">
        <v>56</v>
      </c>
      <c r="B104" s="1">
        <v>19</v>
      </c>
      <c r="C104" s="1" t="s">
        <v>16</v>
      </c>
      <c r="D104" s="2">
        <v>1362708.5771762982</v>
      </c>
      <c r="E104" s="2">
        <v>501890</v>
      </c>
      <c r="F104" s="2">
        <v>89708933</v>
      </c>
      <c r="G104" s="1">
        <v>40</v>
      </c>
      <c r="H104" s="2">
        <v>127480.06</v>
      </c>
      <c r="I104" s="2">
        <v>63740.03</v>
      </c>
      <c r="J104" s="2">
        <v>63740.03</v>
      </c>
      <c r="K104" s="2">
        <f t="shared" si="30"/>
        <v>0</v>
      </c>
      <c r="L104" s="2">
        <v>0</v>
      </c>
      <c r="M104" s="2">
        <v>0</v>
      </c>
      <c r="N104" s="2">
        <v>0</v>
      </c>
      <c r="O104" s="2">
        <v>5343031</v>
      </c>
      <c r="P104" s="4">
        <v>0</v>
      </c>
      <c r="Q104" s="4">
        <v>0.19425421224819123</v>
      </c>
      <c r="R104" s="4">
        <v>0</v>
      </c>
      <c r="S104" s="3">
        <f t="shared" si="41"/>
        <v>17874.222040686207</v>
      </c>
      <c r="T104" s="1">
        <f t="shared" si="42"/>
        <v>9.4</v>
      </c>
      <c r="U104" s="1" t="str">
        <f t="shared" si="46"/>
        <v/>
      </c>
      <c r="V104" s="1" t="str">
        <f t="shared" si="43"/>
        <v/>
      </c>
      <c r="W104" s="1" t="str">
        <f t="shared" si="44"/>
        <v/>
      </c>
      <c r="X104" s="1">
        <f t="shared" si="45"/>
        <v>0</v>
      </c>
      <c r="Y104" s="4">
        <f t="shared" si="31"/>
        <v>0</v>
      </c>
    </row>
    <row r="105" spans="1:25" x14ac:dyDescent="0.25">
      <c r="A105" s="1" t="s">
        <v>56</v>
      </c>
      <c r="B105" s="1">
        <v>20</v>
      </c>
      <c r="C105" s="1" t="s">
        <v>17</v>
      </c>
      <c r="D105" s="2">
        <v>1362708.5771762982</v>
      </c>
      <c r="E105" s="2">
        <v>5715655</v>
      </c>
      <c r="F105" s="2">
        <v>985530</v>
      </c>
      <c r="G105" s="1">
        <v>38.5</v>
      </c>
      <c r="H105" s="2">
        <v>1451776.37</v>
      </c>
      <c r="I105" s="2">
        <v>725888.21174021007</v>
      </c>
      <c r="J105" s="2">
        <v>725888.21174021007</v>
      </c>
      <c r="K105" s="2">
        <f t="shared" si="30"/>
        <v>1710.0684275184274</v>
      </c>
      <c r="L105" s="2">
        <v>1410.0684275184274</v>
      </c>
      <c r="M105" s="2">
        <v>300</v>
      </c>
      <c r="N105" s="2">
        <v>637.4353808353809</v>
      </c>
      <c r="O105" s="2">
        <v>5343031</v>
      </c>
      <c r="P105" s="4">
        <v>0.11779144500905932</v>
      </c>
      <c r="Q105" s="4">
        <v>0</v>
      </c>
      <c r="R105" s="4">
        <v>4.1328677769927435E-2</v>
      </c>
      <c r="S105" s="3">
        <f t="shared" si="41"/>
        <v>17.242643231615624</v>
      </c>
      <c r="T105" s="1">
        <f t="shared" si="42"/>
        <v>107</v>
      </c>
      <c r="U105" s="1" t="str">
        <f t="shared" si="46"/>
        <v/>
      </c>
      <c r="V105" s="1" t="str">
        <f t="shared" si="43"/>
        <v/>
      </c>
      <c r="W105" s="1">
        <f t="shared" si="44"/>
        <v>32.799999999999997</v>
      </c>
      <c r="X105" s="1">
        <f t="shared" si="45"/>
        <v>32.799999999999997</v>
      </c>
      <c r="Y105" s="4">
        <f t="shared" si="31"/>
        <v>2.9919028134455759E-2</v>
      </c>
    </row>
    <row r="106" spans="1:25" x14ac:dyDescent="0.25">
      <c r="A106" s="1" t="s">
        <v>56</v>
      </c>
      <c r="B106" s="1">
        <v>21</v>
      </c>
      <c r="C106" s="1" t="s">
        <v>18</v>
      </c>
      <c r="D106" s="2">
        <v>1362708.5771762982</v>
      </c>
      <c r="E106" s="2">
        <v>192476</v>
      </c>
      <c r="F106" s="2">
        <v>100324349</v>
      </c>
      <c r="G106" s="1">
        <v>36.6</v>
      </c>
      <c r="H106" s="2">
        <v>48888.904000000002</v>
      </c>
      <c r="I106" s="2">
        <v>24444.430036493428</v>
      </c>
      <c r="J106" s="2">
        <v>24444.430036493428</v>
      </c>
      <c r="K106" s="2">
        <f t="shared" si="30"/>
        <v>779</v>
      </c>
      <c r="L106" s="2">
        <v>0</v>
      </c>
      <c r="M106" s="2">
        <v>779</v>
      </c>
      <c r="N106" s="2">
        <v>0</v>
      </c>
      <c r="O106" s="2">
        <v>5343031</v>
      </c>
      <c r="P106" s="4">
        <v>1.5934100300907406</v>
      </c>
      <c r="Q106" s="4">
        <v>0.46296189337629734</v>
      </c>
      <c r="R106" s="4">
        <v>3.1868200601814811</v>
      </c>
      <c r="S106" s="3">
        <f t="shared" si="41"/>
        <v>52123.043392422951</v>
      </c>
      <c r="T106" s="1">
        <f t="shared" si="42"/>
        <v>3.5999999999999996</v>
      </c>
      <c r="U106" s="1" t="str">
        <f t="shared" si="46"/>
        <v/>
      </c>
      <c r="V106" s="1" t="str">
        <f t="shared" si="43"/>
        <v/>
      </c>
      <c r="W106" s="1" t="str">
        <f t="shared" si="44"/>
        <v/>
      </c>
      <c r="X106" s="1">
        <f t="shared" si="45"/>
        <v>0</v>
      </c>
      <c r="Y106" s="4">
        <f t="shared" si="31"/>
        <v>0.40472578399384862</v>
      </c>
    </row>
    <row r="107" spans="1:25" x14ac:dyDescent="0.25">
      <c r="A107" s="1" t="s">
        <v>56</v>
      </c>
      <c r="B107" s="1">
        <v>22</v>
      </c>
      <c r="C107" s="1" t="s">
        <v>19</v>
      </c>
      <c r="D107" s="2">
        <v>1362708.5771762982</v>
      </c>
      <c r="E107" s="2">
        <v>6121148</v>
      </c>
      <c r="F107" s="2">
        <v>1868151</v>
      </c>
      <c r="G107" s="1">
        <v>40</v>
      </c>
      <c r="H107" s="2">
        <v>1554771.5919999999</v>
      </c>
      <c r="I107" s="2">
        <v>777385.79599999997</v>
      </c>
      <c r="J107" s="2">
        <v>777385.79599999997</v>
      </c>
      <c r="K107" s="2">
        <f t="shared" si="30"/>
        <v>4491</v>
      </c>
      <c r="L107" s="2">
        <v>3599</v>
      </c>
      <c r="M107" s="2">
        <v>892</v>
      </c>
      <c r="N107" s="2">
        <v>1010.0490596803595</v>
      </c>
      <c r="O107" s="2">
        <v>5343031</v>
      </c>
      <c r="P107" s="4">
        <v>0.28885271785953753</v>
      </c>
      <c r="Q107" s="4">
        <v>0</v>
      </c>
      <c r="R107" s="4">
        <v>0.11474354234277777</v>
      </c>
      <c r="S107" s="3">
        <f t="shared" si="41"/>
        <v>30.519618215406652</v>
      </c>
      <c r="T107" s="1">
        <f t="shared" si="42"/>
        <v>114.6</v>
      </c>
      <c r="U107" s="1" t="str">
        <f t="shared" si="46"/>
        <v/>
      </c>
      <c r="V107" s="1" t="str">
        <f t="shared" si="43"/>
        <v/>
      </c>
      <c r="W107" s="1">
        <f t="shared" si="44"/>
        <v>35.840000000000003</v>
      </c>
      <c r="X107" s="1">
        <f t="shared" si="45"/>
        <v>35.840000000000003</v>
      </c>
      <c r="Y107" s="4">
        <f t="shared" si="31"/>
        <v>7.3368590336322537E-2</v>
      </c>
    </row>
    <row r="108" spans="1:25" x14ac:dyDescent="0.25">
      <c r="A108" s="1" t="s">
        <v>56</v>
      </c>
      <c r="B108" s="1">
        <v>23</v>
      </c>
      <c r="C108" s="1" t="s">
        <v>20</v>
      </c>
      <c r="D108" s="2">
        <v>1362708.5771762982</v>
      </c>
      <c r="E108" s="2">
        <v>1728823.8495066168</v>
      </c>
      <c r="F108" s="2">
        <v>10990138.77660818</v>
      </c>
      <c r="G108" s="1">
        <v>40</v>
      </c>
      <c r="H108" s="2">
        <v>439121.25777468068</v>
      </c>
      <c r="I108" s="2">
        <v>219560.64800000002</v>
      </c>
      <c r="J108" s="2">
        <v>219560.64800000002</v>
      </c>
      <c r="K108" s="2">
        <f t="shared" si="30"/>
        <v>0</v>
      </c>
      <c r="L108" s="2">
        <v>0</v>
      </c>
      <c r="M108" s="2">
        <v>0</v>
      </c>
      <c r="N108" s="2">
        <v>0</v>
      </c>
      <c r="O108" s="2">
        <v>5343031</v>
      </c>
      <c r="P108" s="4">
        <v>0</v>
      </c>
      <c r="Q108" s="4">
        <v>0</v>
      </c>
      <c r="R108" s="4">
        <v>0</v>
      </c>
      <c r="S108" s="3">
        <f t="shared" si="41"/>
        <v>635.70032191218434</v>
      </c>
      <c r="T108" s="1">
        <f t="shared" si="42"/>
        <v>32.4</v>
      </c>
      <c r="U108" s="1" t="str">
        <f t="shared" si="46"/>
        <v/>
      </c>
      <c r="V108" s="1">
        <f t="shared" si="43"/>
        <v>22.4</v>
      </c>
      <c r="W108" s="1" t="str">
        <f t="shared" si="44"/>
        <v/>
      </c>
      <c r="X108" s="1">
        <f t="shared" si="45"/>
        <v>22.4</v>
      </c>
      <c r="Y108" s="4">
        <f t="shared" si="31"/>
        <v>0</v>
      </c>
    </row>
    <row r="109" spans="1:25" x14ac:dyDescent="0.25">
      <c r="A109" s="1" t="s">
        <v>56</v>
      </c>
      <c r="B109" s="1">
        <v>24</v>
      </c>
      <c r="C109" s="1" t="s">
        <v>21</v>
      </c>
      <c r="D109" s="2">
        <v>1362708.5771762982</v>
      </c>
      <c r="E109" s="2">
        <v>2854354</v>
      </c>
      <c r="F109" s="2">
        <v>7215994</v>
      </c>
      <c r="G109" s="1">
        <v>40</v>
      </c>
      <c r="H109" s="2">
        <v>725005.91599999997</v>
      </c>
      <c r="I109" s="2">
        <v>362502.95675716473</v>
      </c>
      <c r="J109" s="2">
        <v>362502.95675716473</v>
      </c>
      <c r="K109" s="2">
        <f t="shared" si="30"/>
        <v>1764</v>
      </c>
      <c r="L109" s="2">
        <v>0</v>
      </c>
      <c r="M109" s="2">
        <v>1764</v>
      </c>
      <c r="N109" s="2">
        <v>0</v>
      </c>
      <c r="O109" s="2">
        <v>5343031</v>
      </c>
      <c r="P109" s="4">
        <v>0.24330836026555183</v>
      </c>
      <c r="Q109" s="4">
        <v>0</v>
      </c>
      <c r="R109" s="4">
        <v>0.48661672053110366</v>
      </c>
      <c r="S109" s="3">
        <f t="shared" si="41"/>
        <v>252.80655447782578</v>
      </c>
      <c r="T109" s="1">
        <f t="shared" si="42"/>
        <v>53.400000000000006</v>
      </c>
      <c r="U109" s="1">
        <f t="shared" si="46"/>
        <v>32.9</v>
      </c>
      <c r="V109" s="1" t="str">
        <f t="shared" si="43"/>
        <v/>
      </c>
      <c r="W109" s="1" t="str">
        <f t="shared" si="44"/>
        <v/>
      </c>
      <c r="X109" s="1">
        <f t="shared" si="45"/>
        <v>32.9</v>
      </c>
      <c r="Y109" s="4">
        <f t="shared" si="31"/>
        <v>6.1800323295568803E-2</v>
      </c>
    </row>
    <row r="110" spans="1:25" x14ac:dyDescent="0.25">
      <c r="A110" s="1" t="s">
        <v>56</v>
      </c>
      <c r="B110" s="1">
        <v>25</v>
      </c>
      <c r="C110" s="1" t="s">
        <v>23</v>
      </c>
      <c r="D110" s="2">
        <v>1362708.5771763001</v>
      </c>
      <c r="E110" s="2">
        <v>800433.56819093903</v>
      </c>
      <c r="F110" s="2">
        <v>97441943.61536248</v>
      </c>
      <c r="G110" s="1">
        <v>40</v>
      </c>
      <c r="H110" s="2">
        <v>203310.12632049853</v>
      </c>
      <c r="I110" s="2">
        <v>101655.06316024926</v>
      </c>
      <c r="J110" s="2">
        <v>101655.06316024926</v>
      </c>
      <c r="K110" s="2">
        <f t="shared" si="30"/>
        <v>0</v>
      </c>
      <c r="L110" s="2">
        <v>0</v>
      </c>
      <c r="M110" s="2">
        <v>0</v>
      </c>
      <c r="N110" s="2">
        <v>0</v>
      </c>
      <c r="O110" s="2">
        <v>5343031</v>
      </c>
      <c r="P110" s="4">
        <v>0</v>
      </c>
      <c r="Q110" s="4">
        <v>0</v>
      </c>
      <c r="R110" s="4">
        <v>0</v>
      </c>
      <c r="S110" s="3">
        <f t="shared" si="41"/>
        <v>12173.645320197047</v>
      </c>
      <c r="T110" s="1">
        <f t="shared" si="42"/>
        <v>15</v>
      </c>
      <c r="U110" s="1" t="str">
        <f t="shared" si="46"/>
        <v/>
      </c>
      <c r="V110" s="1">
        <f t="shared" si="43"/>
        <v>5</v>
      </c>
      <c r="W110" s="1" t="str">
        <f t="shared" si="44"/>
        <v/>
      </c>
      <c r="X110" s="1">
        <f t="shared" si="45"/>
        <v>5</v>
      </c>
      <c r="Y110" s="4">
        <f t="shared" si="31"/>
        <v>0</v>
      </c>
    </row>
    <row r="111" spans="1:25" x14ac:dyDescent="0.25">
      <c r="A111" s="1" t="s">
        <v>56</v>
      </c>
      <c r="B111" s="1">
        <v>26</v>
      </c>
      <c r="C111" s="1" t="s">
        <v>42</v>
      </c>
      <c r="D111" s="2">
        <v>1362708.5771763001</v>
      </c>
      <c r="E111" s="2">
        <v>1202227.56128777</v>
      </c>
      <c r="F111" s="2">
        <v>1168711.8700088391</v>
      </c>
      <c r="G111" s="1">
        <v>40</v>
      </c>
      <c r="H111" s="2">
        <v>305365.8005670936</v>
      </c>
      <c r="I111" s="2">
        <v>152682.9002835468</v>
      </c>
      <c r="J111" s="2">
        <v>152682.9002835468</v>
      </c>
      <c r="K111" s="2">
        <f t="shared" si="30"/>
        <v>47439.755702293209</v>
      </c>
      <c r="L111" s="2">
        <v>46804.755702293209</v>
      </c>
      <c r="M111" s="2">
        <v>635</v>
      </c>
      <c r="N111" s="2">
        <v>0</v>
      </c>
      <c r="O111" s="2">
        <v>5343031</v>
      </c>
      <c r="P111" s="4">
        <v>0.31233072916347737</v>
      </c>
      <c r="Q111" s="4">
        <v>0</v>
      </c>
      <c r="R111" s="4">
        <v>0.62466145832695474</v>
      </c>
      <c r="S111" s="3">
        <f t="shared" si="41"/>
        <v>97.212200721548044</v>
      </c>
      <c r="T111" s="1">
        <f t="shared" si="42"/>
        <v>22.5</v>
      </c>
      <c r="U111" s="1" t="str">
        <f t="shared" si="46"/>
        <v/>
      </c>
      <c r="V111" s="1" t="str">
        <f t="shared" si="43"/>
        <v/>
      </c>
      <c r="W111" s="1" t="str">
        <f t="shared" si="44"/>
        <v/>
      </c>
      <c r="X111" s="1">
        <f t="shared" si="45"/>
        <v>0</v>
      </c>
      <c r="Y111" s="4">
        <f t="shared" si="31"/>
        <v>3.9459880333701514</v>
      </c>
    </row>
    <row r="112" spans="1:25" x14ac:dyDescent="0.25">
      <c r="A112" s="1" t="s">
        <v>56</v>
      </c>
      <c r="B112" s="1">
        <v>27</v>
      </c>
      <c r="C112" s="1" t="s">
        <v>43</v>
      </c>
      <c r="D112" s="2">
        <v>1362708.5771763001</v>
      </c>
      <c r="E112" s="2">
        <v>528741</v>
      </c>
      <c r="F112" s="2">
        <v>4717808</v>
      </c>
      <c r="G112" s="1">
        <v>40</v>
      </c>
      <c r="H112" s="2">
        <v>134300.21400000001</v>
      </c>
      <c r="I112" s="2">
        <v>67150.107000000004</v>
      </c>
      <c r="J112" s="2">
        <v>67150.107000000004</v>
      </c>
      <c r="K112" s="2">
        <f t="shared" si="30"/>
        <v>0</v>
      </c>
      <c r="L112" s="2">
        <v>0</v>
      </c>
      <c r="N112" s="2">
        <v>0</v>
      </c>
      <c r="O112" s="2">
        <v>5343031</v>
      </c>
      <c r="P112" s="4">
        <v>0</v>
      </c>
      <c r="Q112" s="4">
        <v>0</v>
      </c>
      <c r="R112" s="4">
        <v>0</v>
      </c>
      <c r="S112" s="3">
        <f t="shared" si="41"/>
        <v>892.27201976014726</v>
      </c>
      <c r="T112" s="1">
        <f t="shared" si="42"/>
        <v>9.9</v>
      </c>
      <c r="U112" s="1" t="str">
        <f t="shared" si="46"/>
        <v/>
      </c>
      <c r="V112" s="1" t="str">
        <f t="shared" si="43"/>
        <v/>
      </c>
      <c r="W112" s="1" t="str">
        <f t="shared" si="44"/>
        <v/>
      </c>
      <c r="X112" s="1">
        <f t="shared" si="45"/>
        <v>0</v>
      </c>
      <c r="Y112" s="4">
        <f t="shared" si="31"/>
        <v>0</v>
      </c>
    </row>
    <row r="113" spans="1:25" x14ac:dyDescent="0.25">
      <c r="A113" s="1" t="s">
        <v>56</v>
      </c>
      <c r="B113" s="1">
        <v>28</v>
      </c>
      <c r="C113" s="1" t="s">
        <v>44</v>
      </c>
      <c r="D113" s="2">
        <v>1362708.5771763001</v>
      </c>
      <c r="E113" s="2">
        <v>205037.17017698928</v>
      </c>
      <c r="F113" s="2">
        <v>540588.38521663914</v>
      </c>
      <c r="G113" s="1">
        <v>40</v>
      </c>
      <c r="H113" s="2">
        <v>52079.441224955277</v>
      </c>
      <c r="I113" s="2">
        <v>26039.720612477638</v>
      </c>
      <c r="J113" s="2">
        <v>26039.720612477638</v>
      </c>
      <c r="K113" s="2">
        <f t="shared" si="30"/>
        <v>0</v>
      </c>
      <c r="L113" s="2">
        <v>0</v>
      </c>
      <c r="N113" s="2">
        <v>0</v>
      </c>
      <c r="O113" s="2">
        <v>5343031</v>
      </c>
      <c r="S113" s="3">
        <f t="shared" si="41"/>
        <v>263.65384615384619</v>
      </c>
      <c r="T113" s="1">
        <f t="shared" si="42"/>
        <v>3.8</v>
      </c>
      <c r="U113" s="1" t="str">
        <f t="shared" si="46"/>
        <v/>
      </c>
      <c r="V113" s="1" t="str">
        <f t="shared" si="43"/>
        <v/>
      </c>
      <c r="W113" s="1" t="str">
        <f t="shared" si="44"/>
        <v/>
      </c>
      <c r="X113" s="1">
        <f t="shared" si="45"/>
        <v>0</v>
      </c>
      <c r="Y113" s="4">
        <f t="shared" si="31"/>
        <v>0</v>
      </c>
    </row>
    <row r="114" spans="1:25" x14ac:dyDescent="0.25">
      <c r="A114" s="1" t="s">
        <v>45</v>
      </c>
      <c r="B114" s="1">
        <v>1</v>
      </c>
      <c r="C114" s="1" t="s">
        <v>31</v>
      </c>
      <c r="D114" s="2">
        <v>2148547</v>
      </c>
      <c r="E114" s="2">
        <v>3272094</v>
      </c>
      <c r="F114" s="2">
        <v>12221602</v>
      </c>
      <c r="G114" s="1">
        <v>25.4</v>
      </c>
      <c r="H114" s="2">
        <v>831111.87600000005</v>
      </c>
      <c r="I114" s="2">
        <f>H114</f>
        <v>831111.87600000005</v>
      </c>
      <c r="K114" s="2">
        <f t="shared" si="30"/>
        <v>817005</v>
      </c>
      <c r="L114" s="2">
        <v>817005</v>
      </c>
      <c r="N114" s="2">
        <v>64837</v>
      </c>
      <c r="O114" s="2">
        <v>4094506</v>
      </c>
      <c r="P114" s="4">
        <v>98.302650171732111</v>
      </c>
      <c r="S114" s="3">
        <f t="shared" ref="S114:S141" si="47">F114/E114*100</f>
        <v>373.51011309577291</v>
      </c>
      <c r="T114" s="1">
        <f>ROUND(E114/O114,3)*100</f>
        <v>79.900000000000006</v>
      </c>
      <c r="U114" s="1">
        <f t="shared" ref="U114:U141" si="48">IF(AND(T114&gt;40,S114&gt;=100),ROUND(30+13*((T114-40)/(100-40)),1),"")</f>
        <v>38.6</v>
      </c>
      <c r="V114" s="1" t="str">
        <f t="shared" ref="V114:V141" si="49">IF(AND(S114&gt;=100,T114&gt;=10,T114&lt;=40),ROUND(30*((T114-10)/(40-10)),1),"")</f>
        <v/>
      </c>
      <c r="W114" s="1" t="str">
        <f t="shared" ref="W114:W141" si="50">IF(AND(S114&lt;100,T114&gt;=25),(30*(T114-25)/(100-25)),"")</f>
        <v/>
      </c>
      <c r="X114" s="1">
        <f t="shared" ref="X114:X141" si="51">IF(SUM(U114:W114)&gt;40,40,SUM(U114:W114))</f>
        <v>38.6</v>
      </c>
      <c r="Y114" s="4">
        <f t="shared" si="31"/>
        <v>24.968873143619959</v>
      </c>
    </row>
    <row r="115" spans="1:25" x14ac:dyDescent="0.25">
      <c r="A115" s="1" t="s">
        <v>45</v>
      </c>
      <c r="B115" s="1">
        <v>2</v>
      </c>
      <c r="C115" s="1" t="s">
        <v>30</v>
      </c>
      <c r="D115" s="2">
        <v>2148547</v>
      </c>
      <c r="E115" s="2">
        <v>2988789</v>
      </c>
      <c r="F115" s="2">
        <v>2828460</v>
      </c>
      <c r="G115" s="1">
        <v>25.4</v>
      </c>
      <c r="H115" s="2">
        <v>759152.40599999996</v>
      </c>
      <c r="I115" s="2">
        <f t="shared" ref="I115:I141" si="52">H115</f>
        <v>759152.40599999996</v>
      </c>
      <c r="K115" s="2">
        <f t="shared" si="30"/>
        <v>0</v>
      </c>
      <c r="L115" s="2">
        <v>0</v>
      </c>
      <c r="N115" s="2">
        <v>0</v>
      </c>
      <c r="O115" s="2">
        <v>4094506</v>
      </c>
      <c r="P115" s="4">
        <v>0</v>
      </c>
      <c r="S115" s="3">
        <f t="shared" si="47"/>
        <v>94.635653436893676</v>
      </c>
      <c r="T115" s="1">
        <f t="shared" ref="T115:T141" si="53">ROUND(E115/O115,3)*100</f>
        <v>73</v>
      </c>
      <c r="U115" s="1" t="str">
        <f t="shared" si="48"/>
        <v/>
      </c>
      <c r="V115" s="1" t="str">
        <f t="shared" si="49"/>
        <v/>
      </c>
      <c r="W115" s="1">
        <f t="shared" si="50"/>
        <v>19.2</v>
      </c>
      <c r="X115" s="1">
        <f t="shared" si="51"/>
        <v>19.2</v>
      </c>
      <c r="Y115" s="4">
        <f t="shared" si="31"/>
        <v>0</v>
      </c>
    </row>
    <row r="116" spans="1:25" x14ac:dyDescent="0.25">
      <c r="A116" s="1" t="s">
        <v>45</v>
      </c>
      <c r="B116" s="1">
        <v>3</v>
      </c>
      <c r="C116" s="1" t="s">
        <v>0</v>
      </c>
      <c r="D116" s="2">
        <v>1966068</v>
      </c>
      <c r="E116" s="2">
        <v>2551068</v>
      </c>
      <c r="F116" s="2">
        <v>6815215</v>
      </c>
      <c r="G116" s="1">
        <v>25.4</v>
      </c>
      <c r="H116" s="2">
        <v>647971.272</v>
      </c>
      <c r="I116" s="2">
        <f t="shared" si="52"/>
        <v>647971.272</v>
      </c>
      <c r="K116" s="2">
        <f t="shared" si="30"/>
        <v>672930</v>
      </c>
      <c r="L116" s="2">
        <v>672930</v>
      </c>
      <c r="N116" s="2">
        <v>50572</v>
      </c>
      <c r="O116" s="2">
        <v>4094506</v>
      </c>
      <c r="P116" s="4">
        <v>103.85182631985575</v>
      </c>
      <c r="S116" s="3">
        <f t="shared" si="47"/>
        <v>267.15144402266031</v>
      </c>
      <c r="T116" s="1">
        <f t="shared" si="53"/>
        <v>62.3</v>
      </c>
      <c r="U116" s="1">
        <f t="shared" si="48"/>
        <v>34.799999999999997</v>
      </c>
      <c r="V116" s="1" t="str">
        <f t="shared" si="49"/>
        <v/>
      </c>
      <c r="W116" s="1" t="str">
        <f t="shared" si="50"/>
        <v/>
      </c>
      <c r="X116" s="1">
        <f t="shared" si="51"/>
        <v>34.799999999999997</v>
      </c>
      <c r="Y116" s="4">
        <f t="shared" si="31"/>
        <v>26.378363885243356</v>
      </c>
    </row>
    <row r="117" spans="1:25" x14ac:dyDescent="0.25">
      <c r="A117" s="1" t="s">
        <v>45</v>
      </c>
      <c r="B117" s="1">
        <v>4</v>
      </c>
      <c r="C117" s="1" t="s">
        <v>1</v>
      </c>
      <c r="D117" s="2">
        <v>1966068</v>
      </c>
      <c r="E117" s="2">
        <v>2222668</v>
      </c>
      <c r="F117" s="2">
        <v>16308572</v>
      </c>
      <c r="G117" s="1">
        <v>25.4</v>
      </c>
      <c r="H117" s="2">
        <v>564557.67200000002</v>
      </c>
      <c r="I117" s="2">
        <f t="shared" si="52"/>
        <v>564557.67200000002</v>
      </c>
      <c r="K117" s="2">
        <f t="shared" si="30"/>
        <v>557935</v>
      </c>
      <c r="L117" s="2">
        <v>557935</v>
      </c>
      <c r="N117" s="2">
        <v>39376</v>
      </c>
      <c r="O117" s="2">
        <v>4094506</v>
      </c>
      <c r="P117" s="4">
        <v>98.826927286890182</v>
      </c>
      <c r="S117" s="3">
        <f t="shared" si="47"/>
        <v>733.73855204645952</v>
      </c>
      <c r="T117" s="1">
        <f t="shared" si="53"/>
        <v>54.300000000000004</v>
      </c>
      <c r="U117" s="1">
        <f t="shared" si="48"/>
        <v>33.1</v>
      </c>
      <c r="V117" s="1" t="str">
        <f t="shared" si="49"/>
        <v/>
      </c>
      <c r="W117" s="1" t="str">
        <f t="shared" si="50"/>
        <v/>
      </c>
      <c r="X117" s="1">
        <f t="shared" si="51"/>
        <v>33.1</v>
      </c>
      <c r="Y117" s="4">
        <f t="shared" si="31"/>
        <v>25.102039530870108</v>
      </c>
    </row>
    <row r="118" spans="1:25" x14ac:dyDescent="0.25">
      <c r="A118" s="1" t="s">
        <v>45</v>
      </c>
      <c r="B118" s="1">
        <v>5</v>
      </c>
      <c r="C118" s="1" t="s">
        <v>2</v>
      </c>
      <c r="D118" s="2">
        <v>2110285</v>
      </c>
      <c r="E118" s="2">
        <v>3102785</v>
      </c>
      <c r="F118" s="2">
        <v>8655755</v>
      </c>
      <c r="G118" s="1">
        <v>25.4</v>
      </c>
      <c r="H118" s="2">
        <v>788107.39</v>
      </c>
      <c r="I118" s="2">
        <f t="shared" si="52"/>
        <v>788107.39</v>
      </c>
      <c r="K118" s="2">
        <f t="shared" si="30"/>
        <v>725721</v>
      </c>
      <c r="L118" s="2">
        <v>725721</v>
      </c>
      <c r="N118" s="2">
        <v>56487</v>
      </c>
      <c r="O118" s="2">
        <v>4094506</v>
      </c>
      <c r="P118" s="4">
        <v>92.084024234311514</v>
      </c>
      <c r="S118" s="3">
        <f t="shared" si="47"/>
        <v>278.96728261867969</v>
      </c>
      <c r="T118" s="1">
        <f t="shared" si="53"/>
        <v>75.8</v>
      </c>
      <c r="U118" s="1">
        <f t="shared" si="48"/>
        <v>37.799999999999997</v>
      </c>
      <c r="V118" s="1" t="str">
        <f t="shared" si="49"/>
        <v/>
      </c>
      <c r="W118" s="1" t="str">
        <f t="shared" si="50"/>
        <v/>
      </c>
      <c r="X118" s="1">
        <f t="shared" si="51"/>
        <v>37.799999999999997</v>
      </c>
      <c r="Y118" s="4">
        <f t="shared" si="31"/>
        <v>23.389342155515124</v>
      </c>
    </row>
    <row r="119" spans="1:25" x14ac:dyDescent="0.25">
      <c r="A119" s="1" t="s">
        <v>45</v>
      </c>
      <c r="B119" s="1">
        <v>6</v>
      </c>
      <c r="C119" s="1" t="s">
        <v>3</v>
      </c>
      <c r="D119" s="2">
        <v>2351629</v>
      </c>
      <c r="E119" s="2">
        <v>4094506</v>
      </c>
      <c r="F119" s="2">
        <v>2203622</v>
      </c>
      <c r="G119" s="1">
        <v>25.4</v>
      </c>
      <c r="H119" s="2">
        <v>1040004.524</v>
      </c>
      <c r="I119" s="2">
        <f t="shared" si="52"/>
        <v>1040004.524</v>
      </c>
      <c r="K119" s="2">
        <f t="shared" si="30"/>
        <v>0</v>
      </c>
      <c r="L119" s="2">
        <v>0</v>
      </c>
      <c r="N119" s="2">
        <v>0</v>
      </c>
      <c r="O119" s="2">
        <v>4094506</v>
      </c>
      <c r="P119" s="4">
        <v>0</v>
      </c>
      <c r="S119" s="3">
        <f t="shared" si="47"/>
        <v>53.818995502754177</v>
      </c>
      <c r="T119" s="1">
        <f t="shared" si="53"/>
        <v>100</v>
      </c>
      <c r="U119" s="1" t="str">
        <f t="shared" si="48"/>
        <v/>
      </c>
      <c r="V119" s="1" t="str">
        <f t="shared" si="49"/>
        <v/>
      </c>
      <c r="W119" s="1">
        <f t="shared" si="50"/>
        <v>30</v>
      </c>
      <c r="X119" s="1">
        <f t="shared" si="51"/>
        <v>30</v>
      </c>
      <c r="Y119" s="4">
        <f t="shared" si="31"/>
        <v>0</v>
      </c>
    </row>
    <row r="120" spans="1:25" x14ac:dyDescent="0.25">
      <c r="A120" s="1" t="s">
        <v>45</v>
      </c>
      <c r="B120" s="1">
        <v>7</v>
      </c>
      <c r="C120" s="1" t="s">
        <v>4</v>
      </c>
      <c r="D120" s="2">
        <v>2351629</v>
      </c>
      <c r="E120" s="2">
        <v>3289170</v>
      </c>
      <c r="F120" s="2">
        <v>11478383</v>
      </c>
      <c r="G120" s="1">
        <v>30</v>
      </c>
      <c r="H120" s="2">
        <v>986751</v>
      </c>
      <c r="I120" s="2">
        <f t="shared" si="52"/>
        <v>986751</v>
      </c>
      <c r="K120" s="2">
        <f t="shared" si="30"/>
        <v>840317</v>
      </c>
      <c r="L120" s="2">
        <v>840317</v>
      </c>
      <c r="N120" s="2">
        <v>70593</v>
      </c>
      <c r="O120" s="2">
        <v>4094506</v>
      </c>
      <c r="P120" s="4">
        <v>85.1599846364483</v>
      </c>
      <c r="S120" s="3">
        <f t="shared" si="47"/>
        <v>348.97506057759256</v>
      </c>
      <c r="T120" s="1">
        <f t="shared" si="53"/>
        <v>80.300000000000011</v>
      </c>
      <c r="U120" s="1">
        <f t="shared" si="48"/>
        <v>38.700000000000003</v>
      </c>
      <c r="V120" s="1" t="str">
        <f t="shared" si="49"/>
        <v/>
      </c>
      <c r="W120" s="1" t="str">
        <f t="shared" si="50"/>
        <v/>
      </c>
      <c r="X120" s="1">
        <f t="shared" si="51"/>
        <v>38.700000000000003</v>
      </c>
      <c r="Y120" s="4">
        <f t="shared" si="31"/>
        <v>25.547995390934492</v>
      </c>
    </row>
    <row r="121" spans="1:25" x14ac:dyDescent="0.25">
      <c r="A121" s="1" t="s">
        <v>45</v>
      </c>
      <c r="B121" s="1">
        <v>8</v>
      </c>
      <c r="C121" s="1" t="s">
        <v>5</v>
      </c>
      <c r="D121" s="2">
        <v>2357515</v>
      </c>
      <c r="E121" s="2">
        <v>2520322</v>
      </c>
      <c r="F121" s="2">
        <v>5003940</v>
      </c>
      <c r="G121" s="1">
        <v>30</v>
      </c>
      <c r="H121" s="2">
        <v>756096.6</v>
      </c>
      <c r="I121" s="2">
        <f t="shared" si="52"/>
        <v>756096.6</v>
      </c>
      <c r="K121" s="2">
        <f t="shared" si="30"/>
        <v>645559</v>
      </c>
      <c r="L121" s="2">
        <v>645559</v>
      </c>
      <c r="N121" s="2">
        <v>40110</v>
      </c>
      <c r="O121" s="2">
        <v>4094506</v>
      </c>
      <c r="P121" s="4">
        <v>85.380492386819355</v>
      </c>
      <c r="S121" s="3">
        <f t="shared" si="47"/>
        <v>198.54367814906192</v>
      </c>
      <c r="T121" s="1">
        <f t="shared" si="53"/>
        <v>61.6</v>
      </c>
      <c r="U121" s="1">
        <f t="shared" si="48"/>
        <v>34.700000000000003</v>
      </c>
      <c r="V121" s="1" t="str">
        <f t="shared" si="49"/>
        <v/>
      </c>
      <c r="W121" s="1" t="str">
        <f t="shared" si="50"/>
        <v/>
      </c>
      <c r="X121" s="1">
        <f t="shared" si="51"/>
        <v>34.700000000000003</v>
      </c>
      <c r="Y121" s="4">
        <f t="shared" si="31"/>
        <v>25.614147716045803</v>
      </c>
    </row>
    <row r="122" spans="1:25" x14ac:dyDescent="0.25">
      <c r="A122" s="1" t="s">
        <v>45</v>
      </c>
      <c r="B122" s="1">
        <v>9</v>
      </c>
      <c r="C122" s="1" t="s">
        <v>6</v>
      </c>
      <c r="D122" s="2">
        <v>2357515</v>
      </c>
      <c r="E122" s="2">
        <v>2677519</v>
      </c>
      <c r="F122" s="2">
        <v>3262542</v>
      </c>
      <c r="G122" s="1">
        <v>30</v>
      </c>
      <c r="H122" s="2">
        <v>803255.7</v>
      </c>
      <c r="I122" s="2">
        <f t="shared" si="52"/>
        <v>803255.7</v>
      </c>
      <c r="K122" s="2">
        <f t="shared" si="30"/>
        <v>483206</v>
      </c>
      <c r="L122" s="2">
        <v>483206</v>
      </c>
      <c r="N122" s="2">
        <v>33040</v>
      </c>
      <c r="O122" s="2">
        <v>4094506</v>
      </c>
      <c r="P122" s="4">
        <v>60.155937891259292</v>
      </c>
      <c r="S122" s="3">
        <f t="shared" si="47"/>
        <v>121.84944345866452</v>
      </c>
      <c r="T122" s="1">
        <f t="shared" si="53"/>
        <v>65.400000000000006</v>
      </c>
      <c r="U122" s="1">
        <f t="shared" si="48"/>
        <v>35.5</v>
      </c>
      <c r="V122" s="1" t="str">
        <f t="shared" si="49"/>
        <v/>
      </c>
      <c r="W122" s="1" t="str">
        <f t="shared" si="50"/>
        <v/>
      </c>
      <c r="X122" s="1">
        <f t="shared" si="51"/>
        <v>35.5</v>
      </c>
      <c r="Y122" s="4">
        <f t="shared" si="31"/>
        <v>18.046781367377783</v>
      </c>
    </row>
    <row r="123" spans="1:25" x14ac:dyDescent="0.25">
      <c r="A123" s="1" t="s">
        <v>45</v>
      </c>
      <c r="B123" s="1">
        <v>10</v>
      </c>
      <c r="C123" s="1" t="s">
        <v>7</v>
      </c>
      <c r="D123" s="2">
        <v>2136744</v>
      </c>
      <c r="E123" s="2">
        <v>3475932</v>
      </c>
      <c r="F123" s="2">
        <v>3091728</v>
      </c>
      <c r="G123" s="1">
        <v>30</v>
      </c>
      <c r="H123" s="2">
        <v>1042779.6</v>
      </c>
      <c r="I123" s="2">
        <f t="shared" si="52"/>
        <v>1042779.6</v>
      </c>
      <c r="K123" s="2">
        <f t="shared" si="30"/>
        <v>904035</v>
      </c>
      <c r="L123" s="2">
        <v>904035</v>
      </c>
      <c r="N123" s="2">
        <v>55630</v>
      </c>
      <c r="O123" s="2">
        <v>4094506</v>
      </c>
      <c r="P123" s="4">
        <v>86.694733959122331</v>
      </c>
      <c r="S123" s="3">
        <f t="shared" si="47"/>
        <v>88.946734285941147</v>
      </c>
      <c r="T123" s="1">
        <f t="shared" si="53"/>
        <v>84.899999999999991</v>
      </c>
      <c r="U123" s="1" t="str">
        <f t="shared" si="48"/>
        <v/>
      </c>
      <c r="V123" s="1" t="str">
        <f t="shared" si="49"/>
        <v/>
      </c>
      <c r="W123" s="1">
        <f t="shared" si="50"/>
        <v>23.959999999999997</v>
      </c>
      <c r="X123" s="1">
        <f t="shared" si="51"/>
        <v>23.959999999999997</v>
      </c>
      <c r="Y123" s="4">
        <f t="shared" si="31"/>
        <v>26.008420187736697</v>
      </c>
    </row>
    <row r="124" spans="1:25" x14ac:dyDescent="0.25">
      <c r="A124" s="1" t="s">
        <v>45</v>
      </c>
      <c r="B124" s="1">
        <v>11</v>
      </c>
      <c r="C124" s="1" t="s">
        <v>8</v>
      </c>
      <c r="D124" s="2">
        <v>2136744</v>
      </c>
      <c r="E124" s="2">
        <v>3934566</v>
      </c>
      <c r="F124" s="2">
        <v>1724588</v>
      </c>
      <c r="G124" s="1">
        <v>30</v>
      </c>
      <c r="H124" s="2">
        <v>1180369.8</v>
      </c>
      <c r="I124" s="2">
        <f t="shared" si="52"/>
        <v>1180369.8</v>
      </c>
      <c r="K124" s="2">
        <f t="shared" si="30"/>
        <v>969050</v>
      </c>
      <c r="L124" s="2">
        <v>969050</v>
      </c>
      <c r="N124" s="2">
        <v>65252</v>
      </c>
      <c r="O124" s="2">
        <v>4094506</v>
      </c>
      <c r="P124" s="4">
        <v>82.097152943086144</v>
      </c>
      <c r="S124" s="3">
        <f t="shared" si="47"/>
        <v>43.831721211437298</v>
      </c>
      <c r="T124" s="1">
        <f t="shared" si="53"/>
        <v>96.1</v>
      </c>
      <c r="U124" s="1" t="str">
        <f t="shared" si="48"/>
        <v/>
      </c>
      <c r="V124" s="1" t="str">
        <f t="shared" si="49"/>
        <v/>
      </c>
      <c r="W124" s="1">
        <f t="shared" si="50"/>
        <v>28.44</v>
      </c>
      <c r="X124" s="1">
        <f t="shared" si="51"/>
        <v>28.44</v>
      </c>
      <c r="Y124" s="4">
        <f t="shared" si="31"/>
        <v>24.629145882925844</v>
      </c>
    </row>
    <row r="125" spans="1:25" x14ac:dyDescent="0.25">
      <c r="A125" s="1" t="s">
        <v>45</v>
      </c>
      <c r="B125" s="1">
        <v>12</v>
      </c>
      <c r="C125" s="1" t="s">
        <v>9</v>
      </c>
      <c r="D125" s="2">
        <v>1933692</v>
      </c>
      <c r="E125" s="2">
        <v>2241658</v>
      </c>
      <c r="F125" s="2">
        <v>4145700</v>
      </c>
      <c r="G125" s="1">
        <v>30</v>
      </c>
      <c r="H125" s="2">
        <v>672497.4</v>
      </c>
      <c r="I125" s="2">
        <f t="shared" si="52"/>
        <v>672497.4</v>
      </c>
      <c r="K125" s="2">
        <f t="shared" si="30"/>
        <v>794596</v>
      </c>
      <c r="L125" s="2">
        <v>794596</v>
      </c>
      <c r="N125" s="2">
        <v>41288</v>
      </c>
      <c r="O125" s="2">
        <v>4094506</v>
      </c>
      <c r="P125" s="4">
        <v>118.15599584474231</v>
      </c>
      <c r="S125" s="3">
        <f t="shared" si="47"/>
        <v>184.93900496864376</v>
      </c>
      <c r="T125" s="1">
        <f t="shared" si="53"/>
        <v>54.7</v>
      </c>
      <c r="U125" s="1">
        <f t="shared" si="48"/>
        <v>33.200000000000003</v>
      </c>
      <c r="V125" s="1" t="str">
        <f t="shared" si="49"/>
        <v/>
      </c>
      <c r="W125" s="1" t="str">
        <f t="shared" si="50"/>
        <v/>
      </c>
      <c r="X125" s="1">
        <f t="shared" si="51"/>
        <v>33.200000000000003</v>
      </c>
      <c r="Y125" s="4">
        <f t="shared" si="31"/>
        <v>35.446798753422691</v>
      </c>
    </row>
    <row r="126" spans="1:25" x14ac:dyDescent="0.25">
      <c r="A126" s="1" t="s">
        <v>45</v>
      </c>
      <c r="B126" s="1">
        <v>13</v>
      </c>
      <c r="C126" s="1" t="s">
        <v>10</v>
      </c>
      <c r="D126" s="2">
        <v>1933692</v>
      </c>
      <c r="E126" s="2">
        <v>3925788</v>
      </c>
      <c r="F126" s="2">
        <v>2500305</v>
      </c>
      <c r="G126" s="1">
        <v>30</v>
      </c>
      <c r="H126" s="2">
        <v>1177736.3999999999</v>
      </c>
      <c r="I126" s="2">
        <f t="shared" si="52"/>
        <v>1177736.3999999999</v>
      </c>
      <c r="K126" s="2">
        <f t="shared" si="30"/>
        <v>1024023</v>
      </c>
      <c r="L126" s="2">
        <v>1024023</v>
      </c>
      <c r="N126" s="2">
        <v>60165</v>
      </c>
      <c r="O126" s="2">
        <v>4094506</v>
      </c>
      <c r="P126" s="4">
        <v>86.948403734485922</v>
      </c>
      <c r="S126" s="3">
        <f t="shared" si="47"/>
        <v>63.689251686540381</v>
      </c>
      <c r="T126" s="1">
        <f t="shared" si="53"/>
        <v>95.899999999999991</v>
      </c>
      <c r="U126" s="1" t="str">
        <f t="shared" si="48"/>
        <v/>
      </c>
      <c r="V126" s="1" t="str">
        <f t="shared" si="49"/>
        <v/>
      </c>
      <c r="W126" s="1">
        <f t="shared" si="50"/>
        <v>28.359999999999992</v>
      </c>
      <c r="X126" s="1">
        <f t="shared" si="51"/>
        <v>28.359999999999992</v>
      </c>
      <c r="Y126" s="4">
        <f t="shared" si="31"/>
        <v>26.084521120345777</v>
      </c>
    </row>
    <row r="127" spans="1:25" x14ac:dyDescent="0.25">
      <c r="A127" s="1" t="s">
        <v>45</v>
      </c>
      <c r="B127" s="1">
        <v>14</v>
      </c>
      <c r="C127" s="1" t="s">
        <v>11</v>
      </c>
      <c r="D127" s="2">
        <v>1933692</v>
      </c>
      <c r="E127" s="2">
        <v>2818092</v>
      </c>
      <c r="F127" s="2">
        <v>2859722</v>
      </c>
      <c r="G127" s="1">
        <v>30</v>
      </c>
      <c r="H127" s="2">
        <v>845427.6</v>
      </c>
      <c r="I127" s="2">
        <f t="shared" si="52"/>
        <v>845427.6</v>
      </c>
      <c r="K127" s="2">
        <f t="shared" si="30"/>
        <v>1042366</v>
      </c>
      <c r="L127" s="2">
        <v>1042366</v>
      </c>
      <c r="N127" s="2">
        <v>66566</v>
      </c>
      <c r="O127" s="2">
        <v>4094506</v>
      </c>
      <c r="P127" s="4">
        <v>123.29453166657913</v>
      </c>
      <c r="S127" s="3">
        <f t="shared" si="47"/>
        <v>101.47724062947555</v>
      </c>
      <c r="T127" s="1">
        <f t="shared" si="53"/>
        <v>68.8</v>
      </c>
      <c r="U127" s="1">
        <f t="shared" si="48"/>
        <v>36.200000000000003</v>
      </c>
      <c r="V127" s="1" t="str">
        <f t="shared" si="49"/>
        <v/>
      </c>
      <c r="W127" s="1" t="str">
        <f t="shared" si="50"/>
        <v/>
      </c>
      <c r="X127" s="1">
        <f t="shared" si="51"/>
        <v>36.200000000000003</v>
      </c>
      <c r="Y127" s="4">
        <f t="shared" si="31"/>
        <v>36.98835949997374</v>
      </c>
    </row>
    <row r="128" spans="1:25" x14ac:dyDescent="0.25">
      <c r="A128" s="1" t="s">
        <v>45</v>
      </c>
      <c r="B128" s="1">
        <v>15</v>
      </c>
      <c r="C128" s="1" t="s">
        <v>12</v>
      </c>
      <c r="D128" s="2">
        <v>1821850</v>
      </c>
      <c r="E128" s="2">
        <v>2054381.0212309088</v>
      </c>
      <c r="F128" s="2">
        <v>5571684.3999981368</v>
      </c>
      <c r="G128" s="1">
        <v>30</v>
      </c>
      <c r="H128" s="2">
        <v>616314.30636927264</v>
      </c>
      <c r="I128" s="2">
        <f t="shared" si="52"/>
        <v>616314.30636927264</v>
      </c>
      <c r="K128" s="2">
        <f t="shared" si="30"/>
        <v>750793</v>
      </c>
      <c r="L128" s="2">
        <v>750793</v>
      </c>
      <c r="N128" s="2">
        <v>40632</v>
      </c>
      <c r="O128" s="2">
        <v>4094506</v>
      </c>
      <c r="P128" s="4">
        <v>121.8198234636067</v>
      </c>
      <c r="S128" s="3">
        <f t="shared" si="47"/>
        <v>271.20988474960649</v>
      </c>
      <c r="T128" s="1">
        <f t="shared" si="53"/>
        <v>50.2</v>
      </c>
      <c r="U128" s="1">
        <f t="shared" si="48"/>
        <v>32.200000000000003</v>
      </c>
      <c r="V128" s="1" t="str">
        <f t="shared" si="49"/>
        <v/>
      </c>
      <c r="W128" s="1" t="str">
        <f t="shared" si="50"/>
        <v/>
      </c>
      <c r="X128" s="1">
        <f t="shared" si="51"/>
        <v>32.200000000000003</v>
      </c>
      <c r="Y128" s="4">
        <f t="shared" si="31"/>
        <v>36.545947039082009</v>
      </c>
    </row>
    <row r="129" spans="1:25" x14ac:dyDescent="0.25">
      <c r="A129" s="1" t="s">
        <v>45</v>
      </c>
      <c r="B129" s="1">
        <v>16</v>
      </c>
      <c r="C129" s="1" t="s">
        <v>13</v>
      </c>
      <c r="D129" s="2">
        <v>1821850</v>
      </c>
      <c r="E129" s="2">
        <v>4704458</v>
      </c>
      <c r="F129" s="2">
        <v>8757894</v>
      </c>
      <c r="G129" s="1">
        <v>39.1</v>
      </c>
      <c r="H129" s="2">
        <v>1881783.2000000002</v>
      </c>
      <c r="I129" s="2">
        <f t="shared" si="52"/>
        <v>1881783.2000000002</v>
      </c>
      <c r="K129" s="2">
        <f t="shared" si="30"/>
        <v>1537299</v>
      </c>
      <c r="L129" s="2">
        <v>1537299</v>
      </c>
      <c r="N129" s="2">
        <v>106278</v>
      </c>
      <c r="O129" s="2">
        <v>4094506</v>
      </c>
      <c r="P129" s="4">
        <v>81.693736026551832</v>
      </c>
      <c r="S129" s="3">
        <f t="shared" si="47"/>
        <v>186.16159396045197</v>
      </c>
      <c r="T129" s="1">
        <f t="shared" si="53"/>
        <v>114.9</v>
      </c>
      <c r="U129" s="1">
        <f>IF(AND(T129&gt;40,S129&gt;=100),ROUND(30+13*((T129-40)/(100-40)),1),"")</f>
        <v>46.2</v>
      </c>
      <c r="V129" s="1" t="str">
        <f t="shared" si="49"/>
        <v/>
      </c>
      <c r="W129" s="1" t="str">
        <f>IF(AND(S129&lt;100,T129&gt;=25),(30*(T129-25)/(100-25)),"")</f>
        <v/>
      </c>
      <c r="X129" s="1">
        <f t="shared" si="51"/>
        <v>40</v>
      </c>
      <c r="Y129" s="4">
        <f t="shared" si="31"/>
        <v>32.677494410620731</v>
      </c>
    </row>
    <row r="130" spans="1:25" x14ac:dyDescent="0.25">
      <c r="A130" s="1" t="s">
        <v>45</v>
      </c>
      <c r="B130" s="1">
        <v>17</v>
      </c>
      <c r="C130" s="1" t="s">
        <v>14</v>
      </c>
      <c r="D130" s="2">
        <v>1821850</v>
      </c>
      <c r="E130" s="2">
        <v>5744411</v>
      </c>
      <c r="F130" s="2">
        <v>1398700</v>
      </c>
      <c r="G130" s="1">
        <v>40</v>
      </c>
      <c r="H130" s="2">
        <v>2297764.4</v>
      </c>
      <c r="I130" s="2">
        <f t="shared" si="52"/>
        <v>2297764.4</v>
      </c>
      <c r="K130" s="2">
        <f t="shared" si="30"/>
        <v>1714479</v>
      </c>
      <c r="L130" s="2">
        <v>1714479</v>
      </c>
      <c r="N130" s="2">
        <v>119872.06647377137</v>
      </c>
      <c r="O130" s="2">
        <v>4094506</v>
      </c>
      <c r="P130" s="4">
        <v>74.615091085926835</v>
      </c>
      <c r="S130" s="3">
        <f t="shared" si="47"/>
        <v>24.348884507045195</v>
      </c>
      <c r="T130" s="1">
        <f t="shared" si="53"/>
        <v>140.30000000000001</v>
      </c>
      <c r="U130" s="1" t="str">
        <f t="shared" si="48"/>
        <v/>
      </c>
      <c r="V130" s="1" t="str">
        <f t="shared" si="49"/>
        <v/>
      </c>
      <c r="W130" s="1">
        <f t="shared" si="50"/>
        <v>46.120000000000005</v>
      </c>
      <c r="X130" s="1">
        <f t="shared" si="51"/>
        <v>40</v>
      </c>
      <c r="Y130" s="4">
        <f t="shared" si="31"/>
        <v>29.846036434370731</v>
      </c>
    </row>
    <row r="131" spans="1:25" x14ac:dyDescent="0.25">
      <c r="A131" s="1" t="s">
        <v>45</v>
      </c>
      <c r="B131" s="1">
        <v>18</v>
      </c>
      <c r="C131" s="1" t="s">
        <v>15</v>
      </c>
      <c r="D131" s="2">
        <v>1821850</v>
      </c>
      <c r="E131" s="2">
        <v>6657152.3695675991</v>
      </c>
      <c r="F131" s="2">
        <v>3113981.4005784732</v>
      </c>
      <c r="G131" s="1">
        <v>40</v>
      </c>
      <c r="H131" s="2">
        <v>2662860.9478270398</v>
      </c>
      <c r="I131" s="2">
        <f t="shared" si="52"/>
        <v>2662860.9478270398</v>
      </c>
      <c r="K131" s="2">
        <f t="shared" ref="K131:K141" si="54">L131+M131</f>
        <v>1678117.5634047533</v>
      </c>
      <c r="L131" s="2">
        <v>1678117.5634047533</v>
      </c>
      <c r="N131" s="2">
        <v>116884</v>
      </c>
      <c r="O131" s="2">
        <v>4094506</v>
      </c>
      <c r="P131" s="4">
        <v>63.019346345295979</v>
      </c>
      <c r="S131" s="3">
        <f t="shared" si="47"/>
        <v>46.776477804739429</v>
      </c>
      <c r="T131" s="1">
        <f t="shared" si="53"/>
        <v>162.6</v>
      </c>
      <c r="U131" s="1" t="str">
        <f t="shared" si="48"/>
        <v/>
      </c>
      <c r="V131" s="1" t="str">
        <f t="shared" si="49"/>
        <v/>
      </c>
      <c r="W131" s="1">
        <f t="shared" si="50"/>
        <v>55.04</v>
      </c>
      <c r="X131" s="1">
        <f t="shared" si="51"/>
        <v>40</v>
      </c>
      <c r="Y131" s="4">
        <f t="shared" ref="Y131:Y141" si="55">K131/E131*100</f>
        <v>25.207738538118392</v>
      </c>
    </row>
    <row r="132" spans="1:25" x14ac:dyDescent="0.25">
      <c r="A132" s="1" t="s">
        <v>45</v>
      </c>
      <c r="B132" s="1">
        <v>19</v>
      </c>
      <c r="C132" s="1" t="s">
        <v>16</v>
      </c>
      <c r="D132" s="2">
        <v>1821850</v>
      </c>
      <c r="E132" s="2">
        <v>3239459</v>
      </c>
      <c r="F132" s="2">
        <v>2831118</v>
      </c>
      <c r="G132" s="1">
        <v>40</v>
      </c>
      <c r="H132" s="2">
        <v>1198599.9956705624</v>
      </c>
      <c r="I132" s="2">
        <f t="shared" si="52"/>
        <v>1198599.9956705624</v>
      </c>
      <c r="K132" s="2">
        <f t="shared" si="54"/>
        <v>0</v>
      </c>
      <c r="L132" s="2">
        <v>0</v>
      </c>
      <c r="N132" s="2">
        <v>0</v>
      </c>
      <c r="O132" s="2">
        <v>4094506</v>
      </c>
      <c r="P132" s="4">
        <v>0</v>
      </c>
      <c r="S132" s="3">
        <f t="shared" si="47"/>
        <v>87.394777955207957</v>
      </c>
      <c r="T132" s="1">
        <f t="shared" si="53"/>
        <v>79.100000000000009</v>
      </c>
      <c r="U132" s="1" t="str">
        <f t="shared" si="48"/>
        <v/>
      </c>
      <c r="V132" s="1" t="str">
        <f t="shared" si="49"/>
        <v/>
      </c>
      <c r="W132" s="1">
        <f t="shared" si="50"/>
        <v>21.640000000000004</v>
      </c>
      <c r="X132" s="1">
        <f t="shared" si="51"/>
        <v>21.640000000000004</v>
      </c>
      <c r="Y132" s="4">
        <f t="shared" si="55"/>
        <v>0</v>
      </c>
    </row>
    <row r="133" spans="1:25" x14ac:dyDescent="0.25">
      <c r="A133" s="1" t="s">
        <v>45</v>
      </c>
      <c r="B133" s="1">
        <v>20</v>
      </c>
      <c r="C133" s="1" t="s">
        <v>17</v>
      </c>
      <c r="D133" s="2">
        <v>1821850</v>
      </c>
      <c r="E133" s="2">
        <v>4741577.1835120646</v>
      </c>
      <c r="F133" s="2">
        <v>3069920.6033737101</v>
      </c>
      <c r="G133" s="1">
        <v>38.5</v>
      </c>
      <c r="H133" s="2">
        <v>1896630.873404826</v>
      </c>
      <c r="I133" s="2">
        <f t="shared" si="52"/>
        <v>1896630.873404826</v>
      </c>
      <c r="K133" s="2">
        <f t="shared" si="54"/>
        <v>867449.81682472338</v>
      </c>
      <c r="L133" s="2">
        <v>867449.81682472338</v>
      </c>
      <c r="N133" s="2">
        <v>85928.749879693525</v>
      </c>
      <c r="O133" s="2">
        <v>4094506</v>
      </c>
      <c r="P133" s="4">
        <v>45.736354342238464</v>
      </c>
      <c r="S133" s="3">
        <f t="shared" si="47"/>
        <v>64.74471435472519</v>
      </c>
      <c r="T133" s="1">
        <f t="shared" si="53"/>
        <v>115.8</v>
      </c>
      <c r="U133" s="1" t="str">
        <f t="shared" si="48"/>
        <v/>
      </c>
      <c r="V133" s="1" t="str">
        <f t="shared" si="49"/>
        <v/>
      </c>
      <c r="W133" s="1">
        <f t="shared" si="50"/>
        <v>36.32</v>
      </c>
      <c r="X133" s="1">
        <f t="shared" si="51"/>
        <v>36.32</v>
      </c>
      <c r="Y133" s="4">
        <f t="shared" si="55"/>
        <v>18.294541736895386</v>
      </c>
    </row>
    <row r="134" spans="1:25" x14ac:dyDescent="0.25">
      <c r="A134" s="1" t="s">
        <v>45</v>
      </c>
      <c r="B134" s="1">
        <v>21</v>
      </c>
      <c r="C134" s="1" t="s">
        <v>18</v>
      </c>
      <c r="D134" s="2">
        <v>1821850</v>
      </c>
      <c r="E134" s="2">
        <v>1677810.4505683032</v>
      </c>
      <c r="F134" s="2">
        <v>1533197.3550697251</v>
      </c>
      <c r="G134" s="1">
        <v>36.6</v>
      </c>
      <c r="H134" s="2">
        <v>506699</v>
      </c>
      <c r="I134" s="2">
        <f t="shared" si="52"/>
        <v>506699</v>
      </c>
      <c r="K134" s="2">
        <f t="shared" si="54"/>
        <v>632295</v>
      </c>
      <c r="L134" s="2">
        <v>632295</v>
      </c>
      <c r="N134" s="2">
        <v>55588.04131966368</v>
      </c>
      <c r="O134" s="2">
        <v>4094506</v>
      </c>
      <c r="P134" s="4">
        <v>124.78710240201775</v>
      </c>
      <c r="S134" s="3">
        <f t="shared" si="47"/>
        <v>91.380844275371203</v>
      </c>
      <c r="T134" s="1">
        <f t="shared" si="53"/>
        <v>41</v>
      </c>
      <c r="U134" s="1" t="str">
        <f t="shared" si="48"/>
        <v/>
      </c>
      <c r="V134" s="1" t="str">
        <f t="shared" si="49"/>
        <v/>
      </c>
      <c r="W134" s="1">
        <f t="shared" si="50"/>
        <v>6.4</v>
      </c>
      <c r="X134" s="1">
        <f t="shared" si="51"/>
        <v>6.4</v>
      </c>
      <c r="Y134" s="4">
        <f t="shared" si="55"/>
        <v>37.68572306757482</v>
      </c>
    </row>
    <row r="135" spans="1:25" x14ac:dyDescent="0.25">
      <c r="A135" s="1" t="s">
        <v>45</v>
      </c>
      <c r="B135" s="1">
        <v>22</v>
      </c>
      <c r="C135" s="1" t="s">
        <v>19</v>
      </c>
      <c r="D135" s="2">
        <v>1821850</v>
      </c>
      <c r="E135" s="2">
        <v>3614103.4764309837</v>
      </c>
      <c r="F135" s="2">
        <v>1752008.627169549</v>
      </c>
      <c r="G135" s="1">
        <v>40</v>
      </c>
      <c r="H135" s="2">
        <v>1373359.3210437738</v>
      </c>
      <c r="I135" s="2">
        <f t="shared" si="52"/>
        <v>1373359.3210437738</v>
      </c>
      <c r="K135" s="2">
        <f t="shared" si="54"/>
        <v>1188410</v>
      </c>
      <c r="L135" s="2">
        <v>1188410</v>
      </c>
      <c r="N135" s="2">
        <v>95535.855172916461</v>
      </c>
      <c r="O135" s="2">
        <v>4094506</v>
      </c>
      <c r="P135" s="4">
        <v>86.533071264757609</v>
      </c>
      <c r="S135" s="3">
        <f t="shared" si="47"/>
        <v>48.476991281381373</v>
      </c>
      <c r="T135" s="1">
        <f>ROUND(E135/O135,3)*100</f>
        <v>88.3</v>
      </c>
      <c r="U135" s="1" t="str">
        <f t="shared" si="48"/>
        <v/>
      </c>
      <c r="V135" s="1" t="str">
        <f t="shared" si="49"/>
        <v/>
      </c>
      <c r="W135" s="1">
        <f t="shared" si="50"/>
        <v>25.32</v>
      </c>
      <c r="X135" s="1">
        <f t="shared" si="51"/>
        <v>25.32</v>
      </c>
      <c r="Y135" s="4">
        <f t="shared" si="55"/>
        <v>32.882567080607892</v>
      </c>
    </row>
    <row r="136" spans="1:25" x14ac:dyDescent="0.25">
      <c r="A136" s="1" t="s">
        <v>45</v>
      </c>
      <c r="B136" s="1">
        <v>23</v>
      </c>
      <c r="C136" s="1" t="s">
        <v>20</v>
      </c>
      <c r="D136" s="2">
        <v>1815964</v>
      </c>
      <c r="E136" s="2">
        <v>4608068</v>
      </c>
      <c r="F136" s="2">
        <v>1391999</v>
      </c>
      <c r="G136" s="1">
        <v>40</v>
      </c>
      <c r="H136" s="2">
        <v>1843227.2000000002</v>
      </c>
      <c r="I136" s="2">
        <f t="shared" si="52"/>
        <v>1843227.2000000002</v>
      </c>
      <c r="K136" s="2">
        <f t="shared" si="54"/>
        <v>755166.0561261297</v>
      </c>
      <c r="L136" s="2">
        <v>755166.0561261297</v>
      </c>
      <c r="N136" s="2">
        <v>56464.352994372777</v>
      </c>
      <c r="O136" s="2">
        <v>4094506</v>
      </c>
      <c r="P136" s="4">
        <v>40.969776060494858</v>
      </c>
      <c r="S136" s="3">
        <f t="shared" si="47"/>
        <v>30.207865856146221</v>
      </c>
      <c r="T136" s="1">
        <f t="shared" si="53"/>
        <v>112.5</v>
      </c>
      <c r="U136" s="1" t="str">
        <f t="shared" si="48"/>
        <v/>
      </c>
      <c r="V136" s="1" t="str">
        <f t="shared" si="49"/>
        <v/>
      </c>
      <c r="W136" s="1">
        <f t="shared" si="50"/>
        <v>35</v>
      </c>
      <c r="X136" s="1">
        <f t="shared" si="51"/>
        <v>35</v>
      </c>
      <c r="Y136" s="4">
        <f t="shared" si="55"/>
        <v>16.387910424197944</v>
      </c>
    </row>
    <row r="137" spans="1:25" x14ac:dyDescent="0.25">
      <c r="A137" s="1" t="s">
        <v>45</v>
      </c>
      <c r="B137" s="1">
        <v>24</v>
      </c>
      <c r="C137" s="1" t="s">
        <v>21</v>
      </c>
      <c r="D137" s="2">
        <v>1815964</v>
      </c>
      <c r="E137" s="2">
        <v>5210727</v>
      </c>
      <c r="F137" s="2">
        <v>2878450.5886878395</v>
      </c>
      <c r="G137" s="1">
        <v>40</v>
      </c>
      <c r="H137" s="2">
        <v>2084290.8</v>
      </c>
      <c r="I137" s="2">
        <f t="shared" si="52"/>
        <v>2084290.8</v>
      </c>
      <c r="K137" s="2">
        <f t="shared" si="54"/>
        <v>307171.80056991527</v>
      </c>
      <c r="L137" s="2">
        <v>307171.80056991527</v>
      </c>
      <c r="N137" s="2">
        <v>19403.00861798002</v>
      </c>
      <c r="O137" s="2">
        <v>4094506</v>
      </c>
      <c r="P137" s="4">
        <v>14.737473320417442</v>
      </c>
      <c r="S137" s="3">
        <f t="shared" si="47"/>
        <v>55.240863485802258</v>
      </c>
      <c r="T137" s="1">
        <f t="shared" si="53"/>
        <v>127.3</v>
      </c>
      <c r="U137" s="1" t="str">
        <f t="shared" si="48"/>
        <v/>
      </c>
      <c r="V137" s="1" t="str">
        <f t="shared" si="49"/>
        <v/>
      </c>
      <c r="W137" s="1">
        <f t="shared" si="50"/>
        <v>40.92</v>
      </c>
      <c r="X137" s="1">
        <f t="shared" si="51"/>
        <v>40</v>
      </c>
      <c r="Y137" s="4">
        <f t="shared" si="55"/>
        <v>5.894989328166977</v>
      </c>
    </row>
    <row r="138" spans="1:25" x14ac:dyDescent="0.25">
      <c r="A138" s="1" t="s">
        <v>45</v>
      </c>
      <c r="B138" s="1">
        <v>25</v>
      </c>
      <c r="C138" s="1" t="s">
        <v>23</v>
      </c>
      <c r="D138" s="2">
        <v>1815964</v>
      </c>
      <c r="E138" s="2">
        <v>8529444.5710377693</v>
      </c>
      <c r="F138" s="2">
        <v>4559005.6883447403</v>
      </c>
      <c r="G138" s="1">
        <v>40</v>
      </c>
      <c r="H138" s="2">
        <v>3411777.8284151079</v>
      </c>
      <c r="I138" s="2">
        <f t="shared" si="52"/>
        <v>3411777.8284151079</v>
      </c>
      <c r="K138" s="2">
        <f t="shared" si="54"/>
        <v>2120314</v>
      </c>
      <c r="L138" s="2">
        <v>2120314</v>
      </c>
      <c r="N138" s="2">
        <v>123715.15358287373</v>
      </c>
      <c r="O138" s="2">
        <v>4094506</v>
      </c>
      <c r="P138" s="4">
        <v>62.146895449665351</v>
      </c>
      <c r="S138" s="3">
        <f t="shared" si="47"/>
        <v>53.450205935156816</v>
      </c>
      <c r="T138" s="1">
        <f t="shared" si="53"/>
        <v>208.3</v>
      </c>
      <c r="U138" s="1" t="str">
        <f t="shared" si="48"/>
        <v/>
      </c>
      <c r="V138" s="1" t="str">
        <f t="shared" si="49"/>
        <v/>
      </c>
      <c r="W138" s="1">
        <f t="shared" si="50"/>
        <v>73.319999999999993</v>
      </c>
      <c r="X138" s="1">
        <f t="shared" si="51"/>
        <v>40</v>
      </c>
      <c r="Y138" s="4">
        <f t="shared" si="55"/>
        <v>24.858758179866143</v>
      </c>
    </row>
    <row r="139" spans="1:25" x14ac:dyDescent="0.25">
      <c r="A139" s="1" t="s">
        <v>45</v>
      </c>
      <c r="B139" s="1">
        <v>26</v>
      </c>
      <c r="C139" s="1" t="s">
        <v>42</v>
      </c>
      <c r="D139" s="2">
        <v>1815964</v>
      </c>
      <c r="E139" s="2">
        <v>5646633.6563129462</v>
      </c>
      <c r="F139" s="2">
        <v>2323486.4320362378</v>
      </c>
      <c r="G139" s="1">
        <v>40</v>
      </c>
      <c r="H139" s="2">
        <v>2258653.4625251787</v>
      </c>
      <c r="I139" s="2">
        <f t="shared" si="52"/>
        <v>2258653.4625251787</v>
      </c>
      <c r="K139" s="2">
        <f t="shared" si="54"/>
        <v>1465516.9524623146</v>
      </c>
      <c r="L139" s="2">
        <v>1465516.9524623146</v>
      </c>
      <c r="N139" s="2">
        <v>91403.422586674191</v>
      </c>
      <c r="O139" s="2">
        <v>4094506</v>
      </c>
      <c r="P139" s="4">
        <v>64.884541908605314</v>
      </c>
      <c r="S139" s="3">
        <f t="shared" si="47"/>
        <v>41.148170280864171</v>
      </c>
      <c r="T139" s="1">
        <f t="shared" si="53"/>
        <v>137.9</v>
      </c>
      <c r="U139" s="1" t="str">
        <f t="shared" si="48"/>
        <v/>
      </c>
      <c r="V139" s="1" t="str">
        <f t="shared" si="49"/>
        <v/>
      </c>
      <c r="W139" s="1">
        <f t="shared" si="50"/>
        <v>45.16</v>
      </c>
      <c r="X139" s="1">
        <f t="shared" si="51"/>
        <v>40</v>
      </c>
      <c r="Y139" s="4">
        <f t="shared" si="55"/>
        <v>25.953816763442127</v>
      </c>
    </row>
    <row r="140" spans="1:25" x14ac:dyDescent="0.25">
      <c r="A140" s="1" t="s">
        <v>45</v>
      </c>
      <c r="B140" s="1">
        <v>27</v>
      </c>
      <c r="C140" s="1" t="s">
        <v>43</v>
      </c>
      <c r="D140" s="2">
        <v>1815964</v>
      </c>
      <c r="E140" s="2">
        <v>3434858</v>
      </c>
      <c r="F140" s="2">
        <v>3285569</v>
      </c>
      <c r="G140" s="1">
        <v>40</v>
      </c>
      <c r="H140" s="2">
        <v>1281202.034</v>
      </c>
      <c r="I140" s="2">
        <f t="shared" si="52"/>
        <v>1281202.034</v>
      </c>
      <c r="K140" s="2">
        <f t="shared" si="54"/>
        <v>1145617.6735108257</v>
      </c>
      <c r="L140" s="2">
        <v>1145617.6735108257</v>
      </c>
      <c r="N140" s="2">
        <v>90082</v>
      </c>
      <c r="O140" s="2">
        <v>4094506</v>
      </c>
      <c r="P140" s="4">
        <v>89.417409831463459</v>
      </c>
      <c r="S140" s="3">
        <f t="shared" si="47"/>
        <v>95.653706790790181</v>
      </c>
      <c r="T140" s="1">
        <f t="shared" si="53"/>
        <v>83.899999999999991</v>
      </c>
      <c r="U140" s="1" t="str">
        <f t="shared" si="48"/>
        <v/>
      </c>
      <c r="V140" s="1" t="str">
        <f t="shared" si="49"/>
        <v/>
      </c>
      <c r="W140" s="1">
        <f t="shared" si="50"/>
        <v>23.56</v>
      </c>
      <c r="X140" s="1">
        <f t="shared" si="51"/>
        <v>23.56</v>
      </c>
      <c r="Y140" s="4">
        <f t="shared" si="55"/>
        <v>33.352693867135869</v>
      </c>
    </row>
    <row r="141" spans="1:25" x14ac:dyDescent="0.25">
      <c r="A141" s="1" t="s">
        <v>45</v>
      </c>
      <c r="B141" s="1">
        <v>28</v>
      </c>
      <c r="C141" s="1" t="s">
        <v>44</v>
      </c>
      <c r="D141" s="2">
        <v>1815964</v>
      </c>
      <c r="E141" s="2">
        <v>5858108.7016015239</v>
      </c>
      <c r="F141" s="2">
        <v>4328537.0154243102</v>
      </c>
      <c r="G141" s="1">
        <v>40</v>
      </c>
      <c r="H141" s="2">
        <v>2343243.4806406097</v>
      </c>
      <c r="I141" s="2">
        <f t="shared" si="52"/>
        <v>2343243.4806406097</v>
      </c>
      <c r="K141" s="2">
        <f>L141+M141</f>
        <v>0</v>
      </c>
      <c r="L141" s="2">
        <v>0</v>
      </c>
      <c r="N141" s="2">
        <v>98096</v>
      </c>
      <c r="O141" s="2">
        <v>4094506</v>
      </c>
      <c r="S141" s="3">
        <f t="shared" si="47"/>
        <v>73.889667056552739</v>
      </c>
      <c r="T141" s="1">
        <f t="shared" si="53"/>
        <v>143.1</v>
      </c>
      <c r="U141" s="1" t="str">
        <f t="shared" si="48"/>
        <v/>
      </c>
      <c r="V141" s="1" t="str">
        <f t="shared" si="49"/>
        <v/>
      </c>
      <c r="W141" s="1">
        <f t="shared" si="50"/>
        <v>47.24</v>
      </c>
      <c r="X141" s="1">
        <f t="shared" si="51"/>
        <v>40</v>
      </c>
      <c r="Y141" s="4">
        <f t="shared" si="55"/>
        <v>0</v>
      </c>
    </row>
  </sheetData>
  <sortState xmlns:xlrd2="http://schemas.microsoft.com/office/spreadsheetml/2017/richdata2" ref="C86:G140">
    <sortCondition ref="C86:C14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4DC2-424B-4072-BBA5-B3B166D76E06}">
  <dimension ref="A1:A29"/>
  <sheetViews>
    <sheetView workbookViewId="0">
      <selection activeCell="O20" sqref="O20"/>
    </sheetView>
  </sheetViews>
  <sheetFormatPr defaultRowHeight="15" x14ac:dyDescent="0.25"/>
  <cols>
    <col min="1" max="1" width="9.140625" style="1"/>
  </cols>
  <sheetData>
    <row r="1" spans="1:1" x14ac:dyDescent="0.25">
      <c r="A1" s="1" t="s">
        <v>33</v>
      </c>
    </row>
    <row r="2" spans="1:1" x14ac:dyDescent="0.25">
      <c r="A2" s="1" t="s">
        <v>31</v>
      </c>
    </row>
    <row r="3" spans="1:1" x14ac:dyDescent="0.25">
      <c r="A3" s="1" t="s">
        <v>30</v>
      </c>
    </row>
    <row r="4" spans="1:1" x14ac:dyDescent="0.25">
      <c r="A4" s="1" t="s">
        <v>0</v>
      </c>
    </row>
    <row r="5" spans="1:1" x14ac:dyDescent="0.25">
      <c r="A5" s="1" t="s">
        <v>1</v>
      </c>
    </row>
    <row r="6" spans="1:1" x14ac:dyDescent="0.25">
      <c r="A6" s="1" t="s">
        <v>2</v>
      </c>
    </row>
    <row r="7" spans="1:1" x14ac:dyDescent="0.25">
      <c r="A7" s="1" t="s">
        <v>3</v>
      </c>
    </row>
    <row r="8" spans="1:1" x14ac:dyDescent="0.25">
      <c r="A8" s="1" t="s">
        <v>4</v>
      </c>
    </row>
    <row r="9" spans="1:1" x14ac:dyDescent="0.25">
      <c r="A9" s="1" t="s">
        <v>5</v>
      </c>
    </row>
    <row r="10" spans="1:1" x14ac:dyDescent="0.25">
      <c r="A10" s="1" t="s">
        <v>6</v>
      </c>
    </row>
    <row r="11" spans="1:1" x14ac:dyDescent="0.25">
      <c r="A11" s="1" t="s">
        <v>7</v>
      </c>
    </row>
    <row r="12" spans="1:1" x14ac:dyDescent="0.25">
      <c r="A12" s="1" t="s">
        <v>8</v>
      </c>
    </row>
    <row r="13" spans="1:1" x14ac:dyDescent="0.25">
      <c r="A13" s="1" t="s">
        <v>9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4" spans="1:1" x14ac:dyDescent="0.25">
      <c r="A24" s="1" t="s">
        <v>20</v>
      </c>
    </row>
    <row r="25" spans="1:1" x14ac:dyDescent="0.25">
      <c r="A25" s="1" t="s">
        <v>21</v>
      </c>
    </row>
    <row r="26" spans="1:1" x14ac:dyDescent="0.25">
      <c r="A26" s="1" t="s">
        <v>23</v>
      </c>
    </row>
    <row r="27" spans="1:1" x14ac:dyDescent="0.25">
      <c r="A27" s="1" t="s">
        <v>42</v>
      </c>
    </row>
    <row r="28" spans="1:1" x14ac:dyDescent="0.25">
      <c r="A28" s="1" t="s">
        <v>43</v>
      </c>
    </row>
    <row r="29" spans="1:1" x14ac:dyDescent="0.25">
      <c r="A29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622F-8E9C-4239-A3B9-E84B58EA9BA1}">
  <dimension ref="A1:B6"/>
  <sheetViews>
    <sheetView workbookViewId="0">
      <selection activeCell="D5" sqref="D5"/>
    </sheetView>
  </sheetViews>
  <sheetFormatPr defaultRowHeight="15" x14ac:dyDescent="0.25"/>
  <cols>
    <col min="1" max="1" width="16.42578125" style="1" customWidth="1"/>
    <col min="2" max="2" width="14.28515625" style="1" customWidth="1"/>
  </cols>
  <sheetData>
    <row r="1" spans="1:2" x14ac:dyDescent="0.25">
      <c r="A1" s="1" t="s">
        <v>55</v>
      </c>
      <c r="B1" s="1" t="s">
        <v>57</v>
      </c>
    </row>
    <row r="2" spans="1:2" x14ac:dyDescent="0.25">
      <c r="A2" s="1" t="s">
        <v>56</v>
      </c>
      <c r="B2" s="1">
        <v>1</v>
      </c>
    </row>
    <row r="3" spans="1:2" x14ac:dyDescent="0.25">
      <c r="A3" s="1" t="s">
        <v>39</v>
      </c>
      <c r="B3" s="1">
        <v>2</v>
      </c>
    </row>
    <row r="4" spans="1:2" x14ac:dyDescent="0.25">
      <c r="A4" s="1" t="s">
        <v>36</v>
      </c>
      <c r="B4" s="1">
        <v>3</v>
      </c>
    </row>
    <row r="5" spans="1:2" x14ac:dyDescent="0.25">
      <c r="A5" s="1" t="s">
        <v>45</v>
      </c>
      <c r="B5" s="1">
        <v>4</v>
      </c>
    </row>
    <row r="6" spans="1:2" x14ac:dyDescent="0.25">
      <c r="A6" s="1" t="s">
        <v>28</v>
      </c>
      <c r="B6" s="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49D57-C3F9-4DE9-ABA1-91248A7F3B29}">
  <ds:schemaRefs>
    <ds:schemaRef ds:uri="http://schemas.microsoft.com/office/2006/metadata/properties"/>
    <ds:schemaRef ds:uri="http://schemas.microsoft.com/office/infopath/2007/PartnerControls"/>
    <ds:schemaRef ds:uri="edc15492-e82e-424f-ac49-b101091fc76a"/>
  </ds:schemaRefs>
</ds:datastoreItem>
</file>

<file path=customXml/itemProps2.xml><?xml version="1.0" encoding="utf-8"?>
<ds:datastoreItem xmlns:ds="http://schemas.openxmlformats.org/officeDocument/2006/customXml" ds:itemID="{EA5E36E7-F34C-45C8-8499-DEF45E307A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c15492-e82e-424f-ac49-b101091fc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4857DA-CB75-46D0-A548-95B81B298B7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sort_season</vt:lpstr>
      <vt:lpstr>sort_beach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George</dc:creator>
  <cp:lastModifiedBy>George, Matthew (DFW)</cp:lastModifiedBy>
  <dcterms:created xsi:type="dcterms:W3CDTF">2024-08-28T17:33:41Z</dcterms:created>
  <dcterms:modified xsi:type="dcterms:W3CDTF">2026-03-19T22:40:41Z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2024-08-29T06:28:19Z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73ae4b88-8b8a-401a-9417-56522527f152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